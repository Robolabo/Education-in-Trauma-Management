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efaultThemeVersion="166925"/>
  <mc:AlternateContent xmlns:mc="http://schemas.openxmlformats.org/markup-compatibility/2006">
    <mc:Choice Requires="x15">
      <x15ac:absPath xmlns:x15ac="http://schemas.microsoft.com/office/spreadsheetml/2010/11/ac" url="/Users/blancalarragagarcia/Documents/tesis/blanca/Trauma/Publicaciones/ArticlesScopingReview/"/>
    </mc:Choice>
  </mc:AlternateContent>
  <xr:revisionPtr revIDLastSave="0" documentId="8_{9948FAD7-E91D-164C-A321-A5FE1AB2EA9F}" xr6:coauthVersionLast="45" xr6:coauthVersionMax="45" xr10:uidLastSave="{00000000-0000-0000-0000-000000000000}"/>
  <bookViews>
    <workbookView xWindow="0" yWindow="460" windowWidth="28620" windowHeight="16480" activeTab="5" xr2:uid="{00000000-000D-0000-FFFF-FFFF00000000}"/>
  </bookViews>
  <sheets>
    <sheet name="Searches" sheetId="2" r:id="rId1"/>
    <sheet name="ArticlesScopingReview_Inicial" sheetId="3" r:id="rId2"/>
    <sheet name="ArticlesScopingReview" sheetId="4" r:id="rId3"/>
    <sheet name="ArticlesScopingReview_Analysis" sheetId="6" r:id="rId4"/>
    <sheet name="ArticlesScopingReview_AnalysisO" sheetId="7" r:id="rId5"/>
    <sheet name="ArticlesScopingReview_Final" sheetId="10" r:id="rId6"/>
    <sheet name="Results" sheetId="8" r:id="rId7"/>
  </sheets>
  <definedNames>
    <definedName name="_xlnm._FilterDatabase" localSheetId="2" hidden="1">ArticlesScopingReview!$A$1:$AY$66</definedName>
    <definedName name="_xlnm._FilterDatabase" localSheetId="3" hidden="1">ArticlesScopingReview_Analysis!$A$1:$AX$35</definedName>
    <definedName name="_xlnm._FilterDatabase" localSheetId="4" hidden="1">ArticlesScopingReview_AnalysisO!$A$1:$AX$43</definedName>
    <definedName name="_xlnm._FilterDatabase" localSheetId="5" hidden="1">ArticlesScopingReview_Final!$A$1:$BC$36</definedName>
    <definedName name="_xlnm._FilterDatabase" localSheetId="1" hidden="1">ArticlesScopingReview_Inicial!$A$1:$AL$123</definedName>
    <definedName name="_xlnm.Print_Area" localSheetId="2">ArticlesScopingReview!$A$2:$N$62</definedName>
    <definedName name="_xlnm.Print_Area" localSheetId="3">ArticlesScopingReview_Analysis!$A$2:$N$33</definedName>
    <definedName name="_xlnm.Print_Area" localSheetId="4">ArticlesScopingReview_AnalysisO!$A$2:$N$41</definedName>
    <definedName name="_xlnm.Print_Area" localSheetId="5">ArticlesScopingReview_Final!$A$2:$R$34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 l="1"/>
  <c r="E6" i="2"/>
  <c r="G24" i="2"/>
  <c r="X36" i="10"/>
  <c r="X35" i="10"/>
  <c r="X34" i="10"/>
  <c r="X33" i="10"/>
  <c r="X32" i="10"/>
  <c r="X31" i="10"/>
  <c r="X30" i="10"/>
  <c r="X29" i="10"/>
  <c r="X28" i="10"/>
  <c r="X27" i="10"/>
  <c r="X26" i="10"/>
  <c r="X25" i="10"/>
  <c r="X24" i="10"/>
  <c r="X23" i="10"/>
  <c r="X22" i="10"/>
  <c r="X21" i="10"/>
  <c r="X20" i="10"/>
  <c r="X19" i="10"/>
  <c r="X18" i="10"/>
  <c r="X17" i="10"/>
  <c r="X16" i="10"/>
  <c r="X15" i="10"/>
  <c r="X14" i="10"/>
  <c r="X13" i="10"/>
  <c r="X12" i="10"/>
  <c r="X11" i="10"/>
  <c r="X10" i="10"/>
  <c r="X9" i="10"/>
  <c r="X8" i="10"/>
  <c r="X7" i="10"/>
  <c r="X6" i="10"/>
  <c r="X5" i="10"/>
  <c r="X4" i="10"/>
  <c r="X3" i="10"/>
  <c r="X2" i="10"/>
  <c r="T66" i="4"/>
  <c r="T65" i="4"/>
  <c r="T64" i="4"/>
  <c r="T63" i="4"/>
  <c r="T62" i="4"/>
  <c r="T61" i="4"/>
  <c r="T60" i="4"/>
  <c r="T59" i="4"/>
  <c r="T58" i="4"/>
  <c r="T57" i="4"/>
  <c r="T56" i="4"/>
  <c r="T55" i="4"/>
  <c r="T54" i="4"/>
  <c r="T53" i="4"/>
  <c r="T52" i="4"/>
  <c r="T51" i="4"/>
  <c r="T50" i="4"/>
  <c r="T49" i="4"/>
  <c r="T48" i="4"/>
  <c r="T47" i="4"/>
  <c r="T46" i="4"/>
  <c r="T45" i="4"/>
  <c r="T44" i="4"/>
  <c r="T43" i="4"/>
  <c r="T42" i="4"/>
  <c r="T41" i="4"/>
  <c r="T40" i="4"/>
  <c r="T39" i="4"/>
  <c r="T38" i="4"/>
  <c r="T37" i="4"/>
  <c r="T36" i="4"/>
  <c r="T35" i="4"/>
  <c r="T34" i="4"/>
  <c r="T33" i="4"/>
  <c r="T32" i="4"/>
  <c r="T31" i="4"/>
  <c r="T30" i="4"/>
  <c r="T29" i="4"/>
  <c r="T28" i="4"/>
  <c r="T27" i="4"/>
  <c r="T26" i="4"/>
  <c r="T25" i="4"/>
  <c r="T24" i="4"/>
  <c r="T23" i="4"/>
  <c r="T22" i="4"/>
  <c r="T21" i="4"/>
  <c r="T20" i="4"/>
  <c r="T19" i="4"/>
  <c r="T18" i="4"/>
  <c r="T17" i="4"/>
  <c r="T16" i="4"/>
  <c r="T15" i="4"/>
  <c r="T14" i="4"/>
  <c r="T13" i="4"/>
  <c r="T12" i="4"/>
  <c r="T11" i="4"/>
  <c r="T10" i="4"/>
  <c r="T9" i="4"/>
  <c r="T8" i="4"/>
  <c r="T7" i="4"/>
  <c r="T6" i="4"/>
  <c r="T5" i="4"/>
  <c r="T4" i="4"/>
  <c r="T3" i="4"/>
  <c r="T2" i="4"/>
  <c r="H24" i="2"/>
  <c r="G6" i="2" l="1"/>
  <c r="K13" i="2" l="1"/>
  <c r="E21" i="2"/>
  <c r="B33" i="2"/>
  <c r="B4" i="2"/>
  <c r="H6"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tc={1F74FDDB-F294-2B40-9C29-1131DA1BC488}</author>
  </authors>
  <commentList>
    <comment ref="G23" authorId="0" shapeId="0" xr:uid="{1F74FDDB-F294-2B40-9C29-1131DA1BC48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Reviews: 17
OutofScope: 13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tc={576FA16B-B86A-DA4F-8E70-12CEAA3CAFE4}</author>
    <author>tc={FA30E827-BA11-6E40-8B13-A9C7C0F1E9D2}</author>
    <author>tc={B8BF2A9B-23F4-6447-AD83-4F388CFAEAD6}</author>
    <author>tc={7AE3867B-35D0-7A47-86AA-1C34F28B67A8}</author>
    <author>tc={9C4D1636-D09D-D149-B10C-1341A112B2E9}</author>
    <author>tc={85D8429D-0AD5-5A43-B53F-90503686B877}</author>
    <author>tc={784594D1-D5C8-8C4C-AD88-8F699253D69C}</author>
    <author>tc={1A1FF6F1-0D15-1D43-AEBB-F7AE618C2505}</author>
    <author>tc={558D4EF9-0517-8044-B67D-EEEF03579935}</author>
    <author>tc={BED88027-049C-8943-BDCB-AC166C2C45EA}</author>
    <author>tc={98CAB881-6BFA-9A49-8FD9-838A5578F113}</author>
    <author>tc={6F7F9F78-CB76-7A42-914A-34A8DA5B42C5}</author>
    <author>tc={A233B95E-7519-D340-87E4-3D96E72CF56D}</author>
    <author>tc={6B781AF9-2341-514D-A0DD-4B91F9A7BD58}</author>
    <author>tc={56B844C5-BE7A-9A45-9687-9D223E2838CF}</author>
    <author>tc={8855FD41-BCBC-7F4A-BE8A-D650ED9E77DD}</author>
    <author>tc={254FAF5D-0956-9B4F-B21A-0F5005BD86C4}</author>
    <author>tc={A21B1E9F-7550-FF49-99F5-27F43625B92F}</author>
  </authors>
  <commentList>
    <comment ref="A12" authorId="0" shapeId="0" xr:uid="{576FA16B-B86A-DA4F-8E70-12CEAA3CAF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It considers different simulation training methods reviewing current techcniques and its role in different roles and skills.
</t>
      </text>
    </comment>
    <comment ref="A18" authorId="1" shapeId="0" xr:uid="{FA30E827-BA11-6E40-8B13-A9C7C0F1E9D2}">
      <text>
        <t>[Comentario encadenado]
Su versión de Excel le permite leer este comentario encadenado; sin embargo, las ediciones que se apliquen se quitarán si el archivo se abre en una versión más reciente de Excel. Más información: https://go.microsoft.com/fwlink/?linkid=870924
Comentario:
    Focus on management: teamwork, leadership, communication skills</t>
      </text>
    </comment>
    <comment ref="A19" authorId="2" shapeId="0" xr:uid="{B8BF2A9B-23F4-6447-AD83-4F388CFAEAD6}">
      <text>
        <t>[Comentario encadenado]
Su versión de Excel le permite leer este comentario encadenado; sin embargo, las ediciones que se apliquen se quitarán si el archivo se abre en una versión más reciente de Excel. Más información: https://go.microsoft.com/fwlink/?linkid=870924
Comentario:
    Se centra en decision making más que en entrenamiento de skills y da puntuación al equipo; no sé si sacarlo puesto que veo que se centra más en teamwork y eso lo hemos sacado….</t>
      </text>
    </comment>
    <comment ref="A21" authorId="3" shapeId="0" xr:uid="{7AE3867B-35D0-7A47-86AA-1C34F28B67A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It is not strictly a simulation technique and it focuses on a specific maneuver and infrastructure issues </t>
      </text>
    </comment>
    <comment ref="A24" authorId="4" shapeId="0" xr:uid="{9C4D1636-D09D-D149-B10C-1341A112B2E9}">
      <text>
        <t>[Comentario encadenado]
Su versión de Excel le permite leer este comentario encadenado; sin embargo, las ediciones que se apliquen se quitarán si el archivo se abre en una versión más reciente de Excel. Más información: https://go.microsoft.com/fwlink/?linkid=870924
Comentario:
    ES UN ARTÍCULO DE REVISIÓN QUE COMENTA TODOS LOS TIPOS DE SIMULACIONES QUE HAY CON SUS PROS-CONS</t>
      </text>
    </comment>
    <comment ref="A25" authorId="5" shapeId="0" xr:uid="{85D8429D-0AD5-5A43-B53F-90503686B877}">
      <text>
        <t>[Comentario encadenado]
Su versión de Excel le permite leer este comentario encadenado; sin embargo, las ediciones que se apliquen se quitarán si el archivo se abre en una versión más reciente de Excel. Más información: https://go.microsoft.com/fwlink/?linkid=870924
Comentario:
    Quitar puesto que no se centra en simulación y aprendizaje en trauma si no que es un artículo más conceptual acerca de qué se podría hacer para llegar a tener ninguna muerte por causas que se podrían haber gestionado.</t>
      </text>
    </comment>
    <comment ref="A26" authorId="6" shapeId="0" xr:uid="{784594D1-D5C8-8C4C-AD88-8F699253D69C}">
      <text>
        <t>[Comentario encadenado]
Su versión de Excel le permite leer este comentario encadenado; sin embargo, las ediciones que se apliquen se quitarán si el archivo se abre en una versión más reciente de Excel. Más información: https://go.microsoft.com/fwlink/?linkid=870924
Comentario:
    It is not focused on trauma training but there is a case study which presents an interactive trauma trainer.</t>
      </text>
    </comment>
    <comment ref="A31" authorId="7" shapeId="0" xr:uid="{1A1FF6F1-0D15-1D43-AEBB-F7AE618C2505}">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quitaría también de la lista de artículos incluidos puesto que es la evaluación del ATLS pero no una forma concreta de simulación que permite evaluar la mejora de las competencias de manejo del trauma.</t>
      </text>
    </comment>
    <comment ref="A37" authorId="8" shapeId="0" xr:uid="{558D4EF9-0517-8044-B67D-EEEF03579935}">
      <text>
        <t>[Comentario encadenado]
Su versión de Excel le permite leer este comentario encadenado; sin embargo, las ediciones que se apliquen se quitarán si el archivo se abre en una versión más reciente de Excel. Más información: https://go.microsoft.com/fwlink/?linkid=870924
Comentario:
    One page article describing simulation in general in trauma apart from ATLS.</t>
      </text>
    </comment>
    <comment ref="A42" authorId="9" shapeId="0" xr:uid="{BED88027-049C-8943-BDCB-AC166C2C45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Highlights different simulation techniques in trauma training but not any specific study.
</t>
      </text>
    </comment>
    <comment ref="A46" authorId="10" shapeId="0" xr:uid="{98CAB881-6BFA-9A49-8FD9-838A5578F113}">
      <text>
        <t>[Comentario encadenado]
Su versión de Excel le permite leer este comentario encadenado; sin embargo, las ediciones que se apliquen se quitarán si el archivo se abre en una versión más reciente de Excel. Más información: https://go.microsoft.com/fwlink/?linkid=870924
Comentario:
    ¿Debería eliminarlo por tratar la simulación pero de dos técnicas muy concretas? Lo proponen como general sólo que lo materializan con dos técnicas….. tengo dudas.</t>
      </text>
    </comment>
    <comment ref="A48" authorId="11" shapeId="0" xr:uid="{6F7F9F78-CB76-7A42-914A-34A8DA5B42C5}">
      <text>
        <t>[Comentario encadenado]
Su versión de Excel le permite leer este comentario encadenado; sin embargo, las ediciones que se apliquen se quitarán si el archivo se abre en una versión más reciente de Excel. Más información: https://go.microsoft.com/fwlink/?linkid=870924
Comentario:
    Highlights different simulation techniques in trauma training but not any specific study.</t>
      </text>
    </comment>
    <comment ref="A50" authorId="12" shapeId="0" xr:uid="{A233B95E-7519-D340-87E4-3D96E72CF56D}">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study focuses on analyzing the effect of ATLS training before and after attending it and how to evaluate the performance.</t>
      </text>
    </comment>
    <comment ref="A53" authorId="13" shapeId="0" xr:uid="{6B781AF9-2341-514D-A0DD-4B91F9A7BD58}">
      <text>
        <t>[Comentario encadenado]
Su versión de Excel le permite leer este comentario encadenado; sin embargo, las ediciones que se apliquen se quitarán si el archivo se abre en una versión más reciente de Excel. Más información: https://go.microsoft.com/fwlink/?linkid=870924
Comentario:
    Training more focused on injury identification, prevention… injury in general.</t>
      </text>
    </comment>
    <comment ref="A54" authorId="14" shapeId="0" xr:uid="{56B844C5-BE7A-9A45-9687-9D223E2838CF}">
      <text>
        <t>[Comentario encadenado]
Su versión de Excel le permite leer este comentario encadenado; sin embargo, las ediciones que se apliquen se quitarán si el archivo se abre en una versión más reciente de Excel. Más información: https://go.microsoft.com/fwlink/?linkid=870924
Comentario:
    Focus on the military field.</t>
      </text>
    </comment>
    <comment ref="A57" authorId="15" shapeId="0" xr:uid="{8855FD41-BCBC-7F4A-BE8A-D650ED9E77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Article not available, requested to the authors but not answer has been received. </t>
      </text>
    </comment>
    <comment ref="A59" authorId="16" shapeId="0" xr:uid="{254FAF5D-0956-9B4F-B21A-0F5005BD86C4}">
      <text>
        <t>[Comentario encadenado]
Su versión de Excel le permite leer este comentario encadenado; sin embargo, las ediciones que se apliquen se quitarán si el archivo se abre en una versión más reciente de Excel. Más información: https://go.microsoft.com/fwlink/?linkid=870924
Comentario:
    No sé si quitarlo puesto que se centra en la naturaleza del aprendizaje más que del aprendizaje de skills concretamente.</t>
      </text>
    </comment>
    <comment ref="A61" authorId="17" shapeId="0" xr:uid="{A21B1E9F-7550-FF49-99F5-27F43625B92F}">
      <text>
        <t>[Comentario encadenado]
Su versión de Excel le permite leer este comentario encadenado; sin embargo, las ediciones que se apliquen se quitarán si el archivo se abre en una versión más reciente de Excel. Más información: https://go.microsoft.com/fwlink/?linkid=870924
Comentario:
    It is not an article but a letter to the editor of just 400 words.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tc={68B5BFD1-6457-0543-98E4-603AF1F786EE}</author>
    <author>tc={1709B023-3617-6C4C-A5BB-BC44BE58F01A}</author>
    <author>tc={CA238220-9357-3E44-A99F-35D06CB0EE44}</author>
    <author>tc={0BC4AEF5-7BF3-7744-95B5-EBBED84F3288}</author>
    <author>tc={D7DEA603-C3DA-FC4B-8238-957680B4F07F}</author>
    <author>tc={1BF010B2-D487-5144-B79E-ABC2816A0AAF}</author>
    <author>tc={929F1803-4211-DD4F-B261-E2BCA3A2C570}</author>
    <author>tc={70408334-8EFF-3F4E-8B41-73407B9C3D49}</author>
  </authors>
  <commentList>
    <comment ref="A8" authorId="0" shapeId="0" xr:uid="{68B5BFD1-6457-0543-98E4-603AF1F786EE}">
      <text>
        <t>[Comentario encadenado]
Su versión de Excel le permite leer este comentario encadenado; sin embargo, las ediciones que se apliquen se quitarán si el archivo se abre en una versión más reciente de Excel. Más información: https://go.microsoft.com/fwlink/?linkid=870924
Comentario:
    Focus on management: teamwork, leadership, communication skills</t>
      </text>
    </comment>
    <comment ref="A9" authorId="1" shapeId="0" xr:uid="{1709B023-3617-6C4C-A5BB-BC44BE58F01A}">
      <text>
        <t>[Comentario encadenado]
Su versión de Excel le permite leer este comentario encadenado; sin embargo, las ediciones que se apliquen se quitarán si el archivo se abre en una versión más reciente de Excel. Más información: https://go.microsoft.com/fwlink/?linkid=870924
Comentario:
    Se centra en decision making más que en entrenamiento de skills y da puntuación al equipo; no sé si sacarlo puesto que veo que se centra más en teamwork y eso lo hemos sacado….</t>
      </text>
    </comment>
    <comment ref="A11" authorId="2" shapeId="0" xr:uid="{CA238220-9357-3E44-A99F-35D06CB0EE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It is not strictly a simulation technique and it focuses on a specific maneuver and infrastructure issues </t>
      </text>
    </comment>
    <comment ref="A14" authorId="3" shapeId="0" xr:uid="{0BC4AEF5-7BF3-7744-95B5-EBBED84F3288}">
      <text>
        <t>[Comentario encadenado]
Su versión de Excel le permite leer este comentario encadenado; sin embargo, las ediciones que se apliquen se quitarán si el archivo se abre en una versión más reciente de Excel. Más información: https://go.microsoft.com/fwlink/?linkid=870924
Comentario:
    It is not focused on trauma training but there is a case study which presents an interactive trauma trainer.</t>
      </text>
    </comment>
    <comment ref="A18" authorId="4" shapeId="0" xr:uid="{D7DEA603-C3DA-FC4B-8238-957680B4F07F}">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quitaría también de la lista de artículos incluidos puesto que es la evaluación del ATLS pero no una forma concreta de simulación que permite evaluar la mejora de las competencias de manejo del trauma.</t>
      </text>
    </comment>
    <comment ref="A30" authorId="5" shapeId="0" xr:uid="{1BF010B2-D487-5144-B79E-ABC2816A0AAF}">
      <text>
        <t>[Comentario encadenado]
Su versión de Excel le permite leer este comentario encadenado; sin embargo, las ediciones que se apliquen se quitarán si el archivo se abre en una versión más reciente de Excel. Más información: https://go.microsoft.com/fwlink/?linkid=870924
Comentario:
    ¿Debería eliminarlo por tratar la simulación pero de dos técnicas muy concretas? Lo proponen como general sólo que lo materializan con dos técnicas….. tengo dudas.</t>
      </text>
    </comment>
    <comment ref="A33" authorId="6" shapeId="0" xr:uid="{929F1803-4211-DD4F-B261-E2BCA3A2C570}">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study focuses on analyzing the effect of ATLS training before and after attending it and how to evaluate the performance.</t>
      </text>
    </comment>
    <comment ref="A39" authorId="7" shapeId="0" xr:uid="{70408334-8EFF-3F4E-8B41-73407B9C3D49}">
      <text>
        <t>[Comentario encadenado]
Su versión de Excel le permite leer este comentario encadenado; sin embargo, las ediciones que se apliquen se quitarán si el archivo se abre en una versión más reciente de Excel. Más información: https://go.microsoft.com/fwlink/?linkid=870924
Comentario:
    No sé si quitarlo puesto que se centra en la naturaleza del aprendizaje más que del aprendizaje de skills concretamente.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tc={94D093C9-40C7-F34A-83FF-A970A4895207}</author>
  </authors>
  <commentList>
    <comment ref="A8" authorId="0" shapeId="0" xr:uid="{94D093C9-40C7-F34A-83FF-A970A4895207}">
      <text>
        <t>[Comentario encadenado]
Su versión de Excel le permite leer este comentario encadenado; sin embargo, las ediciones que se apliquen se quitarán si el archivo se abre en una versión más reciente de Excel. Más información: https://go.microsoft.com/fwlink/?linkid=870924
Comentario:
    Se centra en decision making más que en entrenamiento de skills y da puntuación al equipo; no sé si sacarlo puesto que veo que se centra más en teamwork y eso lo hemos sacado….</t>
      </text>
    </comment>
  </commentList>
</comments>
</file>

<file path=xl/sharedStrings.xml><?xml version="1.0" encoding="utf-8"?>
<sst xmlns="http://schemas.openxmlformats.org/spreadsheetml/2006/main" count="4469" uniqueCount="952">
  <si>
    <t>Title</t>
  </si>
  <si>
    <t>Authors</t>
  </si>
  <si>
    <t>Source Title</t>
  </si>
  <si>
    <t>Publication Year</t>
  </si>
  <si>
    <t>Volume</t>
  </si>
  <si>
    <t>Issue</t>
  </si>
  <si>
    <t>Supplement</t>
  </si>
  <si>
    <t>Special Issue</t>
  </si>
  <si>
    <t>Beginning Page</t>
  </si>
  <si>
    <t>Ending Page</t>
  </si>
  <si>
    <t>Article Number</t>
  </si>
  <si>
    <t>DOI</t>
  </si>
  <si>
    <t>Conference Title</t>
  </si>
  <si>
    <t>Conference Date</t>
  </si>
  <si>
    <t>Total Citations</t>
  </si>
  <si>
    <t>Average per Year</t>
  </si>
  <si>
    <t>Trauma systems and early management of severe injuries in Scandinavia: Review of the current state</t>
  </si>
  <si>
    <t>Kristiansen, Thomas; Soreide, Kjetil; Ringdal, Kjetil G.; Rehn, Marius; Kruger, Andreas J.; Reite, Andreas; Meling, Terje; Naess, Pal Aksel; Lossius, Hans Morten</t>
  </si>
  <si>
    <t>INJURY-INTERNATIONAL JOURNAL OF THE CARE OF THE INJURED</t>
  </si>
  <si>
    <t>10.1016/j.injury.2009.05.027</t>
  </si>
  <si>
    <t>Mapping the use of simulation in prehospital care - a literature review</t>
  </si>
  <si>
    <t>Abelsson, Anna; Rystedt, Ingrid; Suserud, Bjorn-Ove; Lindwall, Lillemor</t>
  </si>
  <si>
    <t>SCANDINAVIAN JOURNAL OF TRAUMA RESUSCITATION &amp; EMERGENCY MEDICINE</t>
  </si>
  <si>
    <t>10.1186/1757-7241-22-22</t>
  </si>
  <si>
    <t>Comparative Research on Training Simulators in Emergency Medicine A Methodological Review</t>
  </si>
  <si>
    <t>Lineberry, Matthew; Walwanis, Melissa; Reni, Joseph</t>
  </si>
  <si>
    <t>SIMULATION IN HEALTHCARE-JOURNAL OF THE SOCIETY FOR SIMULATION IN HEALTHCARE</t>
  </si>
  <si>
    <t>10.1097/SIH.0b013e31828715b1</t>
  </si>
  <si>
    <t>Simulation-based trauma education for medical students: A review of literature</t>
  </si>
  <si>
    <t>Borggreve, Alicia S.; Meijer, Joost M. R.; Schreuder, Henk W. R.; ten Cate, Olle</t>
  </si>
  <si>
    <t>MEDICAL TEACHER</t>
  </si>
  <si>
    <t>SI</t>
  </si>
  <si>
    <t>10.1080/0142159X.2017.1303135</t>
  </si>
  <si>
    <t>Learning by simulation in prehospital emergency care - an integrative literature review</t>
  </si>
  <si>
    <t>SCANDINAVIAN JOURNAL OF CARING SCIENCES</t>
  </si>
  <si>
    <t>10.1111/scs.12252</t>
  </si>
  <si>
    <t>How effective is trauma simulation as an educational process for healthcare providers within the trauma networks? A systematic review</t>
  </si>
  <si>
    <t>Barleycorn, Donna; Lee, Geraldine A.</t>
  </si>
  <si>
    <t>INTERNATIONAL EMERGENCY NURSING</t>
  </si>
  <si>
    <t>10.1016/j.ienj.2018.03.007</t>
  </si>
  <si>
    <t>Training in polytrauma management in medical curricula: A scoping review</t>
  </si>
  <si>
    <t>Jouda, Mohammed; Finn, Yvonne</t>
  </si>
  <si>
    <t>10.1080/0142159X.2020.1811845</t>
  </si>
  <si>
    <t>A Systematic Review of Trauma Crew Resource Management Training: What Can the United States and the United Kingdom Learn From Each Other?</t>
  </si>
  <si>
    <t>Ashcroft, James; Wilkinson, Aimee; Khan, Mansoor</t>
  </si>
  <si>
    <t>JOURNAL OF SURGICAL EDUCATION</t>
  </si>
  <si>
    <t>10.1016/j.jsurg.2020.07.001</t>
  </si>
  <si>
    <t>International Surgical Congress of the Association-of-Surgeons-of-Great-Britain-and-Ireland</t>
  </si>
  <si>
    <t>Developing Virtual Reality Trauma Training Experiences Using 360-Degree Video: Tutorial</t>
  </si>
  <si>
    <t>Patel, Devika; Hawkins, Jessica; Chehab, Lara Zena; Martin-Tuite, Patrick; Feler, Joshua; Tan, Amy; Alpers, Benjamin S.; Pink, Sophia; Wang, Jerome; Freise, Jonathan; Kim, Phillip; Peabody, Christopher; Bowditch, John; Williams, Eric R.; Sammann, Amanda</t>
  </si>
  <si>
    <t>Afzali, Monika; Ballegaard, Christian; Viggers, Sandra</t>
  </si>
  <si>
    <t>Trauma training in simulation: Translating skills from SIM time to real time</t>
  </si>
  <si>
    <t>Knudson, M. Margaret; Khaw, Linda; Bullard, M. Kelley; Dicker, Rochelle; Cohen, Mitchell Jay; Staudenmayer, Kristan; Sadjadi, Javid; Howard, Steven; Gaba, David; Krummel, Thomas</t>
  </si>
  <si>
    <t>JOURNAL OF TRAUMA-INJURY INFECTION AND CRITICAL CARE</t>
  </si>
  <si>
    <t>10.1097/TA.0b013e31816275b0</t>
  </si>
  <si>
    <t>66th Annual Meeting of the American-Association-for-the-Surgery-of-Trauma</t>
  </si>
  <si>
    <t>SEP 27-29</t>
  </si>
  <si>
    <t>Aggarwal, Rajesh; Mytton, Oliver T.; Derbrew, Milliard; Hananel, David; Heydenburg, Mark; Issenberg, Barry; MacAulay, Catherine; Mancini, Mary Elizabeth; Morimoto, Takeshi; Soper, Nathaniel; Ziv, Amitai; Reznick, Richard</t>
  </si>
  <si>
    <t>QUALITY &amp; SAFETY IN HEALTH CARE</t>
  </si>
  <si>
    <t>i34</t>
  </si>
  <si>
    <t>10.1136/qshc.2009.038562</t>
  </si>
  <si>
    <t>Boot Camp: Educational Outcomes After 4 Successive Years of Preparatory Simulation-Based Training at Onset of Internship</t>
  </si>
  <si>
    <t>Fernandez, Gladys L.; Page, David W.; Coe, Nicholas P.; Lee, Patrick C.; Patterson, Lisa A.; Skylizard, Loki; Louis, Myron St.; Amaral, Marisa H.; Wait, Richard B.; Seymour, Neal E.</t>
  </si>
  <si>
    <t>10.1016/j.jsurg.2011.08.007</t>
  </si>
  <si>
    <t>Emergency preparedness in the 21st century: Training and preparation modules in virtual environments</t>
  </si>
  <si>
    <t>Cohen, Daniel; Sevdalis, Nick; Taylor, David; Kerr, Karen; Heys, Mick; Willett, Keith; Batrick, Nicola; Darzi, Ara</t>
  </si>
  <si>
    <t>RESUSCITATION</t>
  </si>
  <si>
    <t>10.1016/j.resuscitation.2012.05.014</t>
  </si>
  <si>
    <t>Simulation training improves ability to manage medical emergencies</t>
  </si>
  <si>
    <t>Ruesseler, Miriam; Weinlich, Michael; Mueller, Michael P.; Byhahn, Christian; Marzi, Ingo; Walcher, Felix</t>
  </si>
  <si>
    <t>EMERGENCY MEDICINE JOURNAL</t>
  </si>
  <si>
    <t>10.1136/emj.2009.074518</t>
  </si>
  <si>
    <t>Datta, Rashmi; Upadhyay, Kk; Jaideep, Cn</t>
  </si>
  <si>
    <t>Medical journal</t>
  </si>
  <si>
    <t xml:space="preserve"> Armed Forces India</t>
  </si>
  <si>
    <t>10.1016/S0377-1237(12)60040-9</t>
  </si>
  <si>
    <t>Development and evaluation of a trauma decision-making simulator in Oculus virtual reality</t>
  </si>
  <si>
    <t>Harrington, Cuan M.; Kavanagh, Dara O.; Quinlan, John F.; Ryan, Donncha; Dicker, Patrick; O'Keeffe, Dara; Traynor, Oscar; Tierney, Sean</t>
  </si>
  <si>
    <t>10.1016/j.amjsurg.2017.02.011</t>
  </si>
  <si>
    <t xml:space="preserve"> multidisciplinary trauma crisis resource management curriculum-Results from the pilot course</t>
  </si>
  <si>
    <t>Ziesmann, Markus T.; Widder, Sandy; Park, Jason; Kortbeek, John B.; Brindley, Peter; Hameed, Morad; Paton-Gay, John Damian; Engels, Paul T.; Hicks, Christopher; Fata, Paola; Ball, Chad G.; Gillman, Lawrence Marshall</t>
  </si>
  <si>
    <t>JOURNAL OF TRAUMA AND ACUTE CARE SURGERY</t>
  </si>
  <si>
    <t>10.1097/TA.0b013e3182a925df</t>
  </si>
  <si>
    <t>Trust-Based Relational Intervention (TBRI): A Systemic Approach to Complex Developmental Trauma.</t>
  </si>
  <si>
    <t>Purvis, Karyn B; Cross, David R; Dansereau, Donald F; Parris, Sheri R</t>
  </si>
  <si>
    <t>Child &amp; youth services</t>
  </si>
  <si>
    <t>Emergency Medicine in Japan</t>
  </si>
  <si>
    <t>Hori</t>
  </si>
  <si>
    <t xml:space="preserve"> Shingo</t>
  </si>
  <si>
    <t>Keio Journal of Medicine</t>
  </si>
  <si>
    <t>10.2302/kjm.59.131</t>
  </si>
  <si>
    <t>The Role of Simulation in Certification</t>
  </si>
  <si>
    <t>Buyske</t>
  </si>
  <si>
    <t xml:space="preserve"> Jo</t>
  </si>
  <si>
    <t>SURGICAL CLINICS OF NORTH AMERICA</t>
  </si>
  <si>
    <t>+</t>
  </si>
  <si>
    <t>10.1016/j.suc.2010.02.013</t>
  </si>
  <si>
    <t>Decision Making in Trauma Settings Simulation to Improve Diagnostic Skills</t>
  </si>
  <si>
    <t>Murray, David J.; Freeman, Brad D.; Boulet, John R.; Woodhouse, Julie; Fehr, James J.; Klingensmith, Mary E.</t>
  </si>
  <si>
    <t>10.1097/SIH.0000000000000073</t>
  </si>
  <si>
    <t>A Human Factors Subsystems Approach to Trauma Care</t>
  </si>
  <si>
    <t>Catchpole, Ken; Ley, Eric; Wiegmann, Doug; Blaha, Jennifer; Shouhed, Daniel; Gangi, Alexandra; Blocker, Renaldo; Karl, Richard; Karl, Cathy; Taggart, Bill; Starnes, Benjamin; Gewertz, Bruce</t>
  </si>
  <si>
    <t>JAMA SURGERY</t>
  </si>
  <si>
    <t>10.1001/jamasurg.2014.1208</t>
  </si>
  <si>
    <t>Tactical and operational response to major incidents: Feasibility and reliability of skills assessment using novel virtual environments</t>
  </si>
  <si>
    <t>Cohen, Daniel; Sevdalis, Nick; Patel, Vishal; Taylor, Michael; Lee, Henry; Vokes, Mick; Heys, Mick; Taylor, David; Batrick, Nicola; Darzi, Ara</t>
  </si>
  <si>
    <t>10.1016/j.resuscitation.2012.12.011</t>
  </si>
  <si>
    <t>Resuscitative Endovascular Balloon Occlusion of the Aorta: Implementation and Preliminary Results at an Academic Level I Trauma Center</t>
  </si>
  <si>
    <t>Darrabie, Marcus D.; Croft, Chasen A.; Brakenridge, Scott C.; Mohr, Alicia M.; Rosenthal, Martin A.; Mercier, Nicole R.; Moore, Frederick A.; Smith, R. Stephen</t>
  </si>
  <si>
    <t>JOURNAL OF THE AMERICAN COLLEGE OF SURGEONS</t>
  </si>
  <si>
    <t>10.1016/j.jamcollsurg.2018.03.042</t>
  </si>
  <si>
    <t>125th Scientific Session of the Western-Surgical-Association</t>
  </si>
  <si>
    <t>NOV 04-07</t>
  </si>
  <si>
    <t>In situ simulation in emergency medicine: Moving beyond the simulation lab</t>
  </si>
  <si>
    <t>Petrosoniak, Andrew; Auerbach, Marc; Wong, Ambrose H.; Hicks, Christopher M.</t>
  </si>
  <si>
    <t>EMERGENCY MEDICINE AUSTRALASIA</t>
  </si>
  <si>
    <t>10.1111/1742-6723.12705</t>
  </si>
  <si>
    <t>Mobile in Situ Simulation as a Tool for Evaluation and Improvement of Trauma Treatment in the Emergency Department</t>
  </si>
  <si>
    <t>Amiel, Imri; Simon, Daniel; Merin, Ofer; Ziv, Amitai</t>
  </si>
  <si>
    <t>10.1016/j.jsurg.2015.08.013</t>
  </si>
  <si>
    <t>A short trauma course for physicians in a resource-limited setting: Is low-cost simulation effective?</t>
  </si>
  <si>
    <t>Pringle, K.; Mackey, J. M.; Modi, P.; Janeway, H.; Romero, T.; Meynard, F.; Perez, H.; Herrera, R.; Bendana, M.; Labora, A.; Ruskis, J.; Foggle, J.; Partridge, R.; Levine, A. C.</t>
  </si>
  <si>
    <t>10.1016/j.injury.2015.05.021</t>
  </si>
  <si>
    <t>Berkenstadt, Haim; Ben-Menachem, Erez; Simon, Daniel; Ziv, Amitai</t>
  </si>
  <si>
    <t>Anesthesiology clinics</t>
  </si>
  <si>
    <t>10.1016/j.anclin.2012.11.003</t>
  </si>
  <si>
    <t>Zero preventable deaths after traumatic injury: An achievable goal</t>
  </si>
  <si>
    <t>Spinella</t>
  </si>
  <si>
    <t xml:space="preserve"> Philip Charles</t>
  </si>
  <si>
    <t>S2</t>
  </si>
  <si>
    <t>S8</t>
  </si>
  <si>
    <t>10.1097/TA.0000000000001425</t>
  </si>
  <si>
    <t>6th Annual Remote Damage Control Resuscitation Symposium of the Trauma-Hemostasis-and-Oxygenation-Research-Network (THOR)</t>
  </si>
  <si>
    <t>JUN 20-22</t>
  </si>
  <si>
    <t>The (human) science of medical virtual learning environments</t>
  </si>
  <si>
    <t>Stone</t>
  </si>
  <si>
    <t xml:space="preserve"> Robert J.</t>
  </si>
  <si>
    <t>PHILOSOPHICAL TRANSACTIONS OF THE ROYAL SOCIETY B-BIOLOGICAL SCIENCES</t>
  </si>
  <si>
    <t>10.1098/rstb.2010.0209</t>
  </si>
  <si>
    <t>Advanced Trauma Operative Management Course: Participant Survey</t>
  </si>
  <si>
    <t>Jacobs, Lenworth; Burns, Karyl; Luk, Stephen; Hull, Stephanie</t>
  </si>
  <si>
    <t>WORLD JOURNAL OF SURGERY</t>
  </si>
  <si>
    <t>10.1007/s00268-009-0276-z</t>
  </si>
  <si>
    <t>Republished: Simulation training improves ability to manage medical emergencies</t>
  </si>
  <si>
    <t>POSTGRADUATE MEDICAL JOURNAL</t>
  </si>
  <si>
    <t>10.1136/pgmj-2009-074518rep</t>
  </si>
  <si>
    <t>Scenario based outdoor simulation in pre-hospital trauma care using a simple mannequin model</t>
  </si>
  <si>
    <t>Bredmose, Per P.; Habig, Karel; Davies, Gareth; Grier, Gareth; Lockey, David J.</t>
  </si>
  <si>
    <t>10.1186/1757-7241-18-13</t>
  </si>
  <si>
    <t>Advanced life simulation: High-fidelity simulation without the high technology</t>
  </si>
  <si>
    <t>Dwyer, Trudy; Searl, Kerry Reid; McAllister, Margaret; Guerin, Michael; Friel, Deborah</t>
  </si>
  <si>
    <t>NURSE EDUCATION IN PRACTICE</t>
  </si>
  <si>
    <t>10.1016/j.nepr.2015.05.007</t>
  </si>
  <si>
    <t>Simulation training in critical care: Does practice make perfect?</t>
  </si>
  <si>
    <t>Springer, Rachael; Mah, John; Shusdock, Ian; Brautigam, Robert; Donahue, Steve; Butler, Raryn</t>
  </si>
  <si>
    <t>SURGERY</t>
  </si>
  <si>
    <t>10.1016/j.surg.2013.04.038</t>
  </si>
  <si>
    <t>Improved Complex Skill Acquisition by Immersive Virtual Reality Training A Randomized Controlled Trial</t>
  </si>
  <si>
    <t>Lohre, Ryan; Bois, Aaron J.; Athwal, George S.; Goel, Danny P.</t>
  </si>
  <si>
    <t>JOURNAL OF BONE AND JOINT SURGERY-AMERICAN VOLUME</t>
  </si>
  <si>
    <t>e26</t>
  </si>
  <si>
    <t>10.2106/JBJS.19.00982</t>
  </si>
  <si>
    <t>Does ATLS trauma training fit into Western countries: evaluation of the first 8 years of ATLS in Germany</t>
  </si>
  <si>
    <t>Muenzberg, M.; Paffrath, T.; Matthes, G.; Mahlke, L.; Swartman, B.; Hoffman, M.; Lefering, R.; Woelfl, C. G.</t>
  </si>
  <si>
    <t>EUROPEAN JOURNAL OF TRAUMA AND EMERGENCY SURGERY</t>
  </si>
  <si>
    <t>10.1007/s00068-013-0316-0</t>
  </si>
  <si>
    <t>Development and evaluation of a new simulation model for interactive training of the medical response to major incidents and disasters</t>
  </si>
  <si>
    <t>Montan, K. Lennquist; Hreckovski, B.; Dobson, B.; Ortenwall, P.; Montan, C.; Khorram-Manesh, A.; Lennquist, S.</t>
  </si>
  <si>
    <t>10.1007/s00068-013-0350-y</t>
  </si>
  <si>
    <t>Factors Affecting Success Rate of Advanced Trauma Life Support (ATLS) Courses</t>
  </si>
  <si>
    <t>Abu-Zidan, Fikri M.; Mohammad, Alshafi; Jamal, Abdulla; Chetty, Diane; Gautam, Subash C.; van Dyke, Murray; Branicki, Frank J.</t>
  </si>
  <si>
    <t>10.1007/s00268-013-2422-x</t>
  </si>
  <si>
    <t>81st Annual Scientific Congress of the Royal-Australasian-College-of-Surgeons</t>
  </si>
  <si>
    <t>MAY 06-10</t>
  </si>
  <si>
    <t>Designing and Using Computer Simulations in Medical Education and Training: An Introduction</t>
  </si>
  <si>
    <t>Friedl, Karl E.; O'Neil, Harold F.</t>
  </si>
  <si>
    <t>MILITARY MEDICINE</t>
  </si>
  <si>
    <t>S</t>
  </si>
  <si>
    <t>10.7205/MILMED-D-13-00209</t>
  </si>
  <si>
    <t>Effectiveness of the Primary Trauma Care Course: Is the outcome satisfactory?</t>
  </si>
  <si>
    <t>Jawaid, Masood; Memon, Ayaz Ahmed; Masood, Zubia; Alam, Shams Nadeem</t>
  </si>
  <si>
    <t>PAKISTAN JOURNAL OF MEDICAL SCIENCES</t>
  </si>
  <si>
    <t>Comparing the Standardized Live Trauma Patient and the Mechanical Simulator Models in the ATLS Initial Assessment Station</t>
  </si>
  <si>
    <t>Ali, Jameel; Dunn, Julie; Eason, Martin; Drumm, Jacob</t>
  </si>
  <si>
    <t>JOURNAL OF SURGICAL RESEARCH</t>
  </si>
  <si>
    <t>10.1016/j.jss.2010.02.029</t>
  </si>
  <si>
    <t>Learning through a virtual patient vs. recorded lecture: a comparison of knowledge retention in a trauma case</t>
  </si>
  <si>
    <t>Courteille, Olivier; Fahlstedt, Madelen; Ho, Johnson; Hedman, Leif; Fors, Uno; Von Holst, Hans; Fellander-Tsai, Li; Moller, Hans</t>
  </si>
  <si>
    <t>INTERNATIONAL JOURNAL OF MEDICAL EDUCATION</t>
  </si>
  <si>
    <t>10.5116/ijme.5aa3.ccf2</t>
  </si>
  <si>
    <t>Prehospital trauma care education for first responders in India</t>
  </si>
  <si>
    <t>Aekka, Apoorva; Abraham, Rohit; Hollis, Michael; Boudiab, Elizabeth; Laput, Gieric; Purohit, Harshadha; Kumar, Richa; Vyas, Arpita; Basson, Marc; Vyas, Dinesh</t>
  </si>
  <si>
    <t>10.1016/j.jss.2015.03.047</t>
  </si>
  <si>
    <t>Educational potential of a virtual patient system for caring for traumatized patients in primary care</t>
  </si>
  <si>
    <t>Ekblad, Solvig; Mollica, Richard F.; Fors, Uno; Pantziaras, Ioannis; Lavelle, James</t>
  </si>
  <si>
    <t>BMC MEDICAL EDUCATION</t>
  </si>
  <si>
    <t>10.1186/1472-6920-13-110</t>
  </si>
  <si>
    <t>Simulation in trauma education: Beyond ATLS</t>
  </si>
  <si>
    <t>[Anonymous]</t>
  </si>
  <si>
    <t>10.1016/j.injury.2014.01.010</t>
  </si>
  <si>
    <t>Mannequin-based Telesimulation: Increasing Access to Simulation-based Education</t>
  </si>
  <si>
    <t>Hayden, Emily M.; Khatri, Avni; Kelly, Hillary R.; Yager, Phoebe H.; Salazar, Gloria M.</t>
  </si>
  <si>
    <t>ACADEMIC EMERGENCY MEDICINE</t>
  </si>
  <si>
    <t>10.1111/acem.13299</t>
  </si>
  <si>
    <t>Academic Emergency Medicine Consensus Conference on Catalyzing System Change Through Healthcare Simulation - Systems</t>
  </si>
  <si>
    <t xml:space="preserve"> Completency</t>
  </si>
  <si>
    <t xml:space="preserve"> and Outcomes</t>
  </si>
  <si>
    <t>Early crisis nontechnical skill teaching in residency leads to long-term skill retention and improved performance during crises: A prospective</t>
  </si>
  <si>
    <t xml:space="preserve"> nonrandomized controlled study</t>
  </si>
  <si>
    <t>Doumouras, Aristithes G.; Engels, Paul T.</t>
  </si>
  <si>
    <t>10.1016/j.surg.2016.11.022</t>
  </si>
  <si>
    <t>Continuing education concepts in clinical emergency medicine</t>
  </si>
  <si>
    <t>Wrede, C.; Wyrwich, W.; Gries, A.</t>
  </si>
  <si>
    <t>NOTFALL &amp; RETTUNGSMEDIZIN</t>
  </si>
  <si>
    <t>10.1007/s10049-016-0224-z</t>
  </si>
  <si>
    <t>Trauma Boot Camp: A Simulation-Based Pilot Study</t>
  </si>
  <si>
    <t>Figueroa, Fabiana Ortiz; Moftakhar, Yasmin; Dobbins, Arthur L.; Khan, Ramisha; Dasgupta, Rahul; Blanda, Rachel; Marchand, Tiffany; Ahmed, Rami</t>
  </si>
  <si>
    <t>CUREUS</t>
  </si>
  <si>
    <t>e463</t>
  </si>
  <si>
    <t>10.7759/cureus.463</t>
  </si>
  <si>
    <t>Assessment of the accuracy of the Medical Response to Major Incidents (MRMI) course for interactive training of the response to major incidents and disasters.</t>
  </si>
  <si>
    <t>Montan, Kristina Lennquist; Ortenwall, Per; Lennquist, Sten</t>
  </si>
  <si>
    <t>American journal of disaster medicine</t>
  </si>
  <si>
    <t>10.5055/ajdm.2015.0194</t>
  </si>
  <si>
    <t>Training strategies to optimize care of the severely injured</t>
  </si>
  <si>
    <t>Muenzberg, M.; Gliwitzky, B.; Kulla, M.; Walcher, F.; Trentzsch, H.; Woelfl, C.; Mueller, M. P.</t>
  </si>
  <si>
    <t>10.1007/s10049-014-1866-3</t>
  </si>
  <si>
    <t>Quick</t>
  </si>
  <si>
    <t xml:space="preserve"> Jacob A</t>
  </si>
  <si>
    <t>Missouri medicine</t>
  </si>
  <si>
    <t>Identifying Nontechnical Skill Deficits in Trainees Through Interdisciplinary Trauma Simulation</t>
  </si>
  <si>
    <t>Sullivan, Sarah; Campbell, Krystle; Ross, Joshua C.; Thompson, Ryan; Underwood, Alyson; LeGare, Anne; Osman, Ingie; Agarwal, Suresh K.; Jung, Hee Soo</t>
  </si>
  <si>
    <t>10.1016/j.jsurg.2017.10.007</t>
  </si>
  <si>
    <t>Medical education and human trafficking: using simulation</t>
  </si>
  <si>
    <t>Stoklosa, Hanni; Lyman, Michelle; Bohnert, Carrie; Mittel, Olivia</t>
  </si>
  <si>
    <t>MEDICAL EDUCATION ONLINE</t>
  </si>
  <si>
    <t>10.1080/10872981.2017.1412746</t>
  </si>
  <si>
    <t>Randomized controlled trial comparing dynamic simulation with static simulation in trauma</t>
  </si>
  <si>
    <t>Carden, Anthony J.; Salcedo, Edgardo S.; Leshikar, David E.; Utter, Garth H.; Wilson, Machelle D.; Galante, Joseph M.</t>
  </si>
  <si>
    <t>10.1097/TA.0000000000001012</t>
  </si>
  <si>
    <t>Does Resident Trauma Exposure Affect Advanced Trauma Operative Management Course Experience?</t>
  </si>
  <si>
    <t>Kaban, Jody M.; Stone, Melvin E., Jr.; Dayama, Anand; Safadjou, Saman; Reddy, Srinivas H.; Simon, Ronald; Teperman, Sheldon</t>
  </si>
  <si>
    <t>AMERICAN SURGEON</t>
  </si>
  <si>
    <t>Construct Validity and Generalizability of Simulation-Based Objective Structured Clinical Examination Scenarios.</t>
  </si>
  <si>
    <t>Sidi, Avner; Gravenstein, Nikolaus; Lampotang, Samsun</t>
  </si>
  <si>
    <t>Journal of graduate medical education</t>
  </si>
  <si>
    <t>10.4300/JGME-D-13-00356.1</t>
  </si>
  <si>
    <t>Rall, M.; Oberfrank, S.</t>
  </si>
  <si>
    <t>UNFALLCHIRURG</t>
  </si>
  <si>
    <t>10.1007/s00113-013-2447-5</t>
  </si>
  <si>
    <t>Training in Trauma Management.</t>
  </si>
  <si>
    <t>Gambhir, Rps; Agrawal, A</t>
  </si>
  <si>
    <t>10.1016/S0377-1237(10)80017-6</t>
  </si>
  <si>
    <t>Multidisciplinary in-situ simulation to evaluate a rare but high-risk process at a level 1 trauma centre: the Mega-Sim approach</t>
  </si>
  <si>
    <t>Bradley, Nori L.; Innes, Kelsey; Dakin, Christa; Sawka, Andrew; Lakha, Nasira; Hameed, S. Morad</t>
  </si>
  <si>
    <t>CANADIAN JOURNAL OF SURGERY</t>
  </si>
  <si>
    <t>10.1503/cjs.005417</t>
  </si>
  <si>
    <t>Mannequin-Based Immersive Simulation Improves Resident Understanding of a Clinical Decision Rule</t>
  </si>
  <si>
    <t>Harwayne-Gidansky, Ilana; Bellis, Jennifer M.; McLaren, Son H.; Critelli, Kristen; Clark, Sunday; Chen, Zhengming; Gerber, Linda M.; Ching, Kevin</t>
  </si>
  <si>
    <t>SIMULATION &amp; GAMING</t>
  </si>
  <si>
    <t>10.1177/1046878117719483</t>
  </si>
  <si>
    <t>Assessing the performance and satisfaction of medical residents utilizing standardized patient versus mannequin-simulated training</t>
  </si>
  <si>
    <t>Alsaad, Ali A.; Davuluri, Swetha; Bhide, Vandana Y.; Lannen, Amy M.; Maniaci, Michael J.</t>
  </si>
  <si>
    <t>ADVANCES IN MEDICAL EDUCATION AND PRACTICE</t>
  </si>
  <si>
    <t>10.2147/AMEP.S134235</t>
  </si>
  <si>
    <t>Trauma Simulation Training Increases Confidence Levels in Prehospital Personnel Performing Life-Saving Interventions in Trauma Patients</t>
  </si>
  <si>
    <t>Van Dillen, Christine M.; Tice, Matthew R.; Patel, Archita D.; Meurer, David A.; Tyndall, Joseph A.; Elie, Marie Carmelle; Shuster, Jonathan J.</t>
  </si>
  <si>
    <t>EMERGENCY MEDICINE INTERNATIONAL</t>
  </si>
  <si>
    <t>UNSP 5437490</t>
  </si>
  <si>
    <t>10.1155/2016/5437490</t>
  </si>
  <si>
    <t>The Effects of a Human Patient Simulator vs. a CD-ROM on Performance</t>
  </si>
  <si>
    <t>Johnson, Don; Corrigan, Theresa; Gulickson, Gary; Holshouser, Elizabeth; Johnson, Sabine</t>
  </si>
  <si>
    <t>10.7205/MILMED-D-12-00179</t>
  </si>
  <si>
    <t>Single and Multi-User Virtual Patient Design in the Virtual World</t>
  </si>
  <si>
    <t>Taylor, D.; Patel, V.; Cohen, D.; Aggarwal, R.; Kerr, K.; Sevdalis, N.; Batrick, N.; Darzi, A.</t>
  </si>
  <si>
    <t>MEDICINE MEETS VIRTUAL REALITY 18</t>
  </si>
  <si>
    <t>10.3233/978-1-60750-706-2-650</t>
  </si>
  <si>
    <t>18th Medicine Meets Virtual Reality Conference / NextMed Conference</t>
  </si>
  <si>
    <t>FEB</t>
  </si>
  <si>
    <t>Lewis, Candice B; Veale, Beth L</t>
  </si>
  <si>
    <t>Journal of medical imaging and radiation sciences</t>
  </si>
  <si>
    <t>10.1016/j.jmir.2010.09.002</t>
  </si>
  <si>
    <t>Development and Validation of a Tool to Evaluate the Evolution of Clinical Reasoning in Trauma Using Virtual Patients</t>
  </si>
  <si>
    <t>Fleiszer, David; Hoover, Michael L.; Posel, Nancy; Razek, Tarek; Bergman, Simon</t>
  </si>
  <si>
    <t>10.1016/j.jsurg.2017.08.024</t>
  </si>
  <si>
    <t>Place of simulation in the initial training of french emergency physicians: national observational and descriptive study</t>
  </si>
  <si>
    <t>Allain, M.; Kuczer, V; Longo, C.; Batard, E.; Le Conte, P.</t>
  </si>
  <si>
    <t>ANNALES FRANCAISES DE MEDECINE D URGENCE</t>
  </si>
  <si>
    <t>10.3166/afmu-2018-0042</t>
  </si>
  <si>
    <t>Effect of Advanced Trauma Life Support program on medical interns' performance in simulated trauma patient management.</t>
  </si>
  <si>
    <t>Ahmadi, Koorosh; Sedaghat, Mohammad; Safdarian, Mahdi; Hashemian, Amir-Masoud; Nezamdoust, Zahra; Vaseie, Mohammad; Rahimi-Movaghar, Vafa</t>
  </si>
  <si>
    <t>Chinese journal of traumatology = Zhonghua chuang shang za zhi</t>
  </si>
  <si>
    <t>Trauma Simulation in Prehospital Emergency Care</t>
  </si>
  <si>
    <t>Abelsson, Anna; Lundberg, Lars</t>
  </si>
  <si>
    <t>JOURNAL OF TRAUMA NURSING</t>
  </si>
  <si>
    <t>10.1097/JTN.0000000000000370</t>
  </si>
  <si>
    <t>Learning High-Energy Trauma Care Through Simulation</t>
  </si>
  <si>
    <t>CLINICAL SIMULATION IN NURSING</t>
  </si>
  <si>
    <t>10.1016/j.ecns.2017.11.009</t>
  </si>
  <si>
    <t xml:space="preserve"> audio-guides and simulation improves the management skills of medical students: Evaluation via medical simulator</t>
  </si>
  <si>
    <t>Cuisinier, Adrien; Schilte, Clotilde; Declety, Philippe; Picard, Julien; Berger, Karine; Bouzat, Pierre; Falcon, Dominique; Bosson, Jean Luc; Payen, Jean-Francois; Albaladejo, Pierre</t>
  </si>
  <si>
    <t>ANAESTHESIA CRITICAL CARE &amp; PAIN MEDICINE</t>
  </si>
  <si>
    <t>10.1016/j.accpm.2015.06.009</t>
  </si>
  <si>
    <t>The effects of interactive training of healthcare providers on the management of life-threatening emergencies in hospital</t>
  </si>
  <si>
    <t>Merriel, Abi; Ficquet, Jo; Barnard, Katie; Kunutsor, Setor K.; Soar, Jasmeet; Lenguerrand, Erik; Caldwell, Deborah M.; Burden, Christy; Winter, Cathy; Draycott, Tim; Siassakos, Dimitrios</t>
  </si>
  <si>
    <t>COCHRANE DATABASE OF SYSTEMATIC REVIEWS</t>
  </si>
  <si>
    <t>CD012177</t>
  </si>
  <si>
    <t>10.1002/14651858.CD012177.pub2</t>
  </si>
  <si>
    <t>Effect of Repeated Simulation on the Quality of Trauma Care</t>
  </si>
  <si>
    <t>Abelsson, Anna; Lindwall, Lillemor; Suserud, Bjorn-Ove; Rystedt, Ingrid</t>
  </si>
  <si>
    <t>10.1016/j.ecns.2017.07.006</t>
  </si>
  <si>
    <t>Distance Learning Can Be as Effective as Traditional Learning for Medical Students in the Initial Assessment of Trauma Patients.</t>
  </si>
  <si>
    <t>Farahmand, Shervin; Jalili, Ebrahim; Arbab, Mona; Sedaghat, Mojtaba; Shirazi, Mandana; Keshmiri, Fatemeh; Azizpour, Arsalan; Valadkhani, Somayeh; Bagheri-Hariri, Shahram</t>
  </si>
  <si>
    <t>Acta medica Iranica</t>
  </si>
  <si>
    <t>The effects of using a human patient simulator compared to a CD-ROM in teaching critical thinking and performance.</t>
  </si>
  <si>
    <t>Johnson, Don; Johnson, Sabine</t>
  </si>
  <si>
    <t>U.S. Army Medical Department journal</t>
  </si>
  <si>
    <t>TraumaManagementA (R)</t>
  </si>
  <si>
    <t xml:space="preserve"> Course concept of interdisciplinary and interprofessional training for guideline-conform preclinical care of multiple trauma patients</t>
  </si>
  <si>
    <t>Hoedtke, J.; Thomas, P.; Heinzmann, S.; Coley, M.; Wirtz, S.</t>
  </si>
  <si>
    <t>10.1007/s10049-012-1681-7</t>
  </si>
  <si>
    <t>A multidisciplinary course on injury prevention and control for medical students.</t>
  </si>
  <si>
    <t>Webb, Travis P; Winthrop, Andrea; Klingbeil, Frederick; Hein, Laurie; Czinner, Mary; Christiansen, Ann; Hargarten, Stephen</t>
  </si>
  <si>
    <t>WMJ : official publication of the State Medical Society of Wisconsin</t>
  </si>
  <si>
    <t>Immersive Virtual Reality Medical Simulation: Autonomous Trauma Training Simulator</t>
  </si>
  <si>
    <t>Couperus, Kyle; Young, Scott; Walsh, Ryan; Kang, Christopher; Skinner, Carl; Essendrop, Robyn; Fiala, Kristin; Phelps, Jillian F.; Sletten, Zachary; Esposito, Matthew T.; Bothwell, Jason; Gorbatkin, Chad</t>
  </si>
  <si>
    <t>e8062</t>
  </si>
  <si>
    <t>10.7759/cureus.8062</t>
  </si>
  <si>
    <t>Utilization of Simulation Techniques to Enhance Quality Improvement Processes in the Emergency Department</t>
  </si>
  <si>
    <t>Comp, Geoffrey B.; Silver, Benjamin V.; Elliott, John; Kalnow, Andrew</t>
  </si>
  <si>
    <t>e7009</t>
  </si>
  <si>
    <t>10.7759/cureus.7009</t>
  </si>
  <si>
    <t>Does simulation work? Monthly trauma simulation and procedural training are associated with decreased time to intervention</t>
  </si>
  <si>
    <t>Park, Caroline; Grant, Jennifer; Dumas, Ryan P.; Dultz, Linda; Shoultz, Thomas H.; Scott, Daniel J.; Luk, Stephen; Abdelfattah, Kareem R.; Cripps, Michael W.</t>
  </si>
  <si>
    <t>10.1097/TA.0000000000002561</t>
  </si>
  <si>
    <t>78th Annual Meeting of the American-Association-for-the-Surgery-of-Trauma (AAST) / Clinical Congress of Acute Care Surgery</t>
  </si>
  <si>
    <t>SEP 18-21</t>
  </si>
  <si>
    <t>Cross-sectional study of the educational background and trauma knowledge of trainees in the China trauma care training program</t>
  </si>
  <si>
    <t>Tang, Hao; Liu, Dong; Yang, Dong; Tan, Jia-Xin; Zhang, Xiu-Zhu; Bai, Xiang-Jun; Zhang, Mao; Zhang, Lian-Yang</t>
  </si>
  <si>
    <t>MILITARY MEDICAL RESEARCH</t>
  </si>
  <si>
    <t>10.1186/s40779-020-0232-7</t>
  </si>
  <si>
    <t>Virtual Reality Trauma Simulation: An Immersive Method to Enhance Medical Personnel Training and Readiness</t>
  </si>
  <si>
    <t>Couperus</t>
  </si>
  <si>
    <t xml:space="preserve"> K.</t>
  </si>
  <si>
    <t>ANNALS OF EMERGENCY MEDICINE</t>
  </si>
  <si>
    <t>S30</t>
  </si>
  <si>
    <t>10.1016/j.annemergmed.2019.08.081</t>
  </si>
  <si>
    <t>Research Forum of the American-College-of-Emergency-Physicians (ACEP)</t>
  </si>
  <si>
    <t>OCT 27-29</t>
  </si>
  <si>
    <t>Global Collaboration to Modernize Advanced Trauma Life Support Training</t>
  </si>
  <si>
    <t>Gala, Shalin G.; Crandall, Marie L.</t>
  </si>
  <si>
    <t>10.1016/j.jsurg.2018.08.011</t>
  </si>
  <si>
    <t>Classification of Cognitive Load and Expertise for Adaptive Simulation using Deep Multitask Learning</t>
  </si>
  <si>
    <t>Sarkar, Pritam; Ross, Kyle; Ruberto, Aaron J.; Rodenburg, Dirk; Hungler, Paul; Etemad, Ali</t>
  </si>
  <si>
    <t>2019 8TH INTERNATIONAL CONFERENCE ON AFFECTIVE COMPUTING AND INTELLIGENT INTERACTION (ACII)</t>
  </si>
  <si>
    <t>8th International Conference on Affective Computing and Intelligent Interaction (ACII)</t>
  </si>
  <si>
    <t>SEP 03-06</t>
  </si>
  <si>
    <t>Four Successive Years of Trauma-Based Objective Structured Clinical Evaluations: What Have We Learned?</t>
  </si>
  <si>
    <t>Walker, Robert; Phieffer, Laura S.; Bishop, Julie Y.</t>
  </si>
  <si>
    <t>Assessment of an educational maze for major trauma care teaching</t>
  </si>
  <si>
    <t>Cuisinier, A.; Schilte, C.; Declety, P.; Baudrant, M.; Picard, J.; Berger, K.; Bouzat, P.; Gay, S.; Falcon, D.; Bosson, J-L; Payen, J-F; Albaladejo, P.</t>
  </si>
  <si>
    <t>ANNALES FRANCAISES D ANESTHESIE ET DE REANIMATION</t>
  </si>
  <si>
    <t>10.1016/j.annfar.2012.07.012</t>
  </si>
  <si>
    <t>The Impact of Unguided Trauma Simulation Practice on Novice Performance: A Randomized Controlled Trial.</t>
  </si>
  <si>
    <t>Wang, Kevin C; Bernardoni, Eamon D; Cotter, Eric J; Levine, Brett R; Frank, Rachel M</t>
  </si>
  <si>
    <t>The Journal of the American Academy of Orthopaedic Surgeons</t>
  </si>
  <si>
    <t>10.5435/JAAOS-D-19-00225</t>
  </si>
  <si>
    <t>Simulation-Based Skill Training in Trauma: A Much Needed Confidence Boost</t>
  </si>
  <si>
    <t>Kuhlenschmidt, Kali Marie; Houshmand, Natasha; Bisgaard, Erika; Grant, Jennifer; Dumas, Ryan; Park, Caroline; Cripps, Michael William</t>
  </si>
  <si>
    <t>S256</t>
  </si>
  <si>
    <t>Annual Clinical Congress of the American-College-of-Surgeons</t>
  </si>
  <si>
    <t>OCT 04-08</t>
  </si>
  <si>
    <t xml:space="preserve"> now I'll do it</t>
  </si>
  <si>
    <t xml:space="preserve"> I'll work on that</t>
  </si>
  <si>
    <t>Shariff, Farhana; Hatala, Rose; Regehr, Glenn</t>
  </si>
  <si>
    <t>MEDICAL EDUCATION</t>
  </si>
  <si>
    <t>10.1111/medu.14153</t>
  </si>
  <si>
    <t xml:space="preserve"> Japan.</t>
  </si>
  <si>
    <t>Kimura</t>
  </si>
  <si>
    <t xml:space="preserve"> Akio</t>
  </si>
  <si>
    <t>Global health &amp; medicine</t>
  </si>
  <si>
    <t>10.35772/ghm.2019.01016</t>
  </si>
  <si>
    <t>Does simulation work? Monthly trauma simulation and procedural training are associated with decreased time to intervention DISCUSSION</t>
  </si>
  <si>
    <t>Bowyer, Mark W.; Matar, Maher; Pascual, Jose L.; Duncan, Thomas K.; Weinberg, Jordan A.; Park, Caroline</t>
  </si>
  <si>
    <t>When the Learner Is the Expert: A Simulation-Based Curriculum for Emergency Medicine Faculty</t>
  </si>
  <si>
    <t>Binstadt, Emily S.; Dahms, Rachel A.; Carlson, Amanda J.; Hegarty, Cullen B.; Nelson, Jessie G.</t>
  </si>
  <si>
    <t>WESTERN JOURNAL OF EMERGENCY MEDICINE</t>
  </si>
  <si>
    <t>10.5811/westjem.2019.11.45513</t>
  </si>
  <si>
    <t>Teaching Trauma-Informed Care: A Symposium for Medical Students.</t>
  </si>
  <si>
    <t>Chokshi, Binny; Walsh, Kimberly; Dooley, Danielle; Falusi, Olanrewaju; Deyton, Lawrence; Beers, Lee</t>
  </si>
  <si>
    <t>MedEdPORTAL : the journal of teaching and learning resources</t>
  </si>
  <si>
    <t>10.15766/mep_2374-8265.11061</t>
  </si>
  <si>
    <t>Lima, Daniel Souza; de-Vasconcelos, Izabella Furtado; Queiroz, Erika Feitosa; Cunha, Thais Aguiar; Dos-Santos, Vitoria Soares; Arruda, Francisco Albert Eisntein Lima; Freitas, Julyana Gomes</t>
  </si>
  <si>
    <t>Revista do Colegio Brasileiro de Cirurgioes</t>
  </si>
  <si>
    <t>e20192163</t>
  </si>
  <si>
    <t>10.1590/0100-6991e-20192163</t>
  </si>
  <si>
    <t>Additional simulation training: does it affect students' knowledge acquisition and retention?</t>
  </si>
  <si>
    <t>Cecilio-Fernandes, Dario; Soares Brandao, Carolina Felipe; Catanio de Oliveira, Davi Lopes; Fernandes, Gloria Celeste V. Rosario; Tio, Rene A.</t>
  </si>
  <si>
    <t>BMJ SIMULATION &amp; TECHNOLOGY ENHANCED LEARNING</t>
  </si>
  <si>
    <t>10.1136/bmjstel-2018-000312</t>
  </si>
  <si>
    <t>The benefits of trauma simulation for medical students - experiences from the University Of Bristol</t>
  </si>
  <si>
    <t>Ellis</t>
  </si>
  <si>
    <t xml:space="preserve"> Liddy</t>
  </si>
  <si>
    <t>10.1080/0142159X.2017.1398400</t>
  </si>
  <si>
    <t>Medical Simulation Training: Targeting Medical Skills to Emulate Real-Time Field Injuries</t>
  </si>
  <si>
    <t>Linde, Amber; Kunkler, Kevin; Caridha, Jona</t>
  </si>
  <si>
    <t>ADVANCES IN HUMAN FACTORS IN SIMULATION AND MODELING (AHFE 2017)</t>
  </si>
  <si>
    <t>10.1007/978-3-319-60591-3_14</t>
  </si>
  <si>
    <t>8th International Conference on Applied Human Factors and Ergonomics (AHEF) / International Conferences on Human Factors and Simulation and Digital Human Modeling and Applied Optimization</t>
  </si>
  <si>
    <t>JUL 17-21</t>
  </si>
  <si>
    <t>Improvement of polytrauma management-quality inspection of a newly introduced course concept</t>
  </si>
  <si>
    <t>Graeff, Ingo; Ghamari, Shahab; Schacher, Sylvia; Glien, Procula; Fimmers, Rolf; Baehner, Torsten; Kim, Se-Chan</t>
  </si>
  <si>
    <t>JOURNAL OF EVALUATION IN CLINICAL PRACTICE</t>
  </si>
  <si>
    <t>10.1111/jep.12802</t>
  </si>
  <si>
    <t>The Effects of Trauma-patient Training Education Using Simulation on Knowledge</t>
  </si>
  <si>
    <t xml:space="preserve"> Satisfaction and Problem-solving in Emergency medical Students. </t>
  </si>
  <si>
    <t>Moon</t>
  </si>
  <si>
    <t xml:space="preserve"> Tae-Young</t>
  </si>
  <si>
    <t>Journal of Korea Academia-Industrial cooperation Society. 한국산학기술학회논문지. Journal of Korea Academia-Industrial cooperation Society한국산학기술학회논문지</t>
  </si>
  <si>
    <t>10.5762/KAIS.2016.17.4.710</t>
  </si>
  <si>
    <t>Patient-perspective video feedback for trauma training</t>
  </si>
  <si>
    <t>Goolsby, Craig; Chen, Elizabeth; Schwartz, James</t>
  </si>
  <si>
    <t>10.1111/medu.12871</t>
  </si>
  <si>
    <t>Optimising training and transforming trauma care through simulation</t>
  </si>
  <si>
    <t>Brown, M. N.; Salanke, U.</t>
  </si>
  <si>
    <t>Present options in operative simulation trauma training</t>
  </si>
  <si>
    <t>Twaij, A.; Froghi, F.; Tai, N.</t>
  </si>
  <si>
    <t>BRITISH JOURNAL OF SURGERY</t>
  </si>
  <si>
    <t>International Surgical Congress of the Association-of-Surgeons-of-Great-Britain-and-Ireland (ASGBI)</t>
  </si>
  <si>
    <t>MAY 01-03</t>
  </si>
  <si>
    <t>Unlocking the Doors of Interprofessional Education for Students through Trauma Simulation</t>
  </si>
  <si>
    <t>Gum, Lyn; Taplay, Karyn; Rayner, Laura; Stobbe, Karl</t>
  </si>
  <si>
    <t>JOURNAL OF INTERPROFESSIONAL CARE</t>
  </si>
  <si>
    <t>Effectiveness of Medical Student Training and Performance Assessment for Initial Evaluation and Management of Patients with Multiple Trauma</t>
  </si>
  <si>
    <t xml:space="preserve"> Using Realistic Patient Simulation. </t>
  </si>
  <si>
    <t>KimSungEun; KimChanWoong. 홍준영; 이동훈; 이상진</t>
  </si>
  <si>
    <t>Journal of The Korean Society of Emergency Medicine. 대한응급의학회지. Journal of The Korean Society of Emergency Medicine대한응급의학회지</t>
  </si>
  <si>
    <t>Implementation effects of emergency trauma patient simulation.</t>
  </si>
  <si>
    <t>백미례</t>
  </si>
  <si>
    <t>The Korean Journal of Emergency Medical Services. 한국응급구조학회지. The Korean Journal of Emergency Medical Services한국응급구조학회지</t>
  </si>
  <si>
    <t>Scandinavian trauma research is characterised by an active collaboration across countries.
The current challenges require a focus on the role of traumatology within an increasingly fragmented
health care system. Regional networks of predictable and accountable pre- and in-hospital resources are needed for efficient trauma systems. Successful development requires both novel research and scientific assessment of imported principles of trauma care.</t>
  </si>
  <si>
    <r>
      <t xml:space="preserve">Simulation methods: manikins, films, images or paper, live actors, animals and virtual reality
Staff categories: paramedics, emergency medical technicians, medical doctors, nurse and fire fighters.
Main topics: intubation, trauma care, CPR, ventilation and triage.
</t>
    </r>
    <r>
      <rPr>
        <b/>
        <sz val="12"/>
        <color theme="1"/>
        <rFont val="Calibri"/>
        <family val="2"/>
        <scheme val="minor"/>
      </rPr>
      <t xml:space="preserve">CONCLUSIONS: </t>
    </r>
    <r>
      <rPr>
        <sz val="12"/>
        <color theme="1"/>
        <rFont val="Calibri"/>
        <family val="2"/>
        <scheme val="minor"/>
      </rPr>
      <t xml:space="preserve">current state reveals inadequate skills regarding:
 - ventilation
 - CPR
 - resuscitation in pediatrics
 - assessing and manging burn victims
The simulation methods are ordered taking into account their presence in the studies; this means that manikins were the simulation method used in more studies.
With respect to the participants, simulation focused on paramedics has increased, has decreased in emergency medical technicians and in the rest, remains stable.
Conclusions with respecto to the impact of simulation as a method for education in trauma care, performance and assessment.
Ventilation was the area with most published articles and ventilation the most infrequent. 
</t>
    </r>
    <r>
      <rPr>
        <b/>
        <sz val="12"/>
        <color theme="1"/>
        <rFont val="Calibri"/>
        <family val="2"/>
        <scheme val="minor"/>
      </rPr>
      <t xml:space="preserve">First search generated 865 hits, and 165 articles were included in the article. </t>
    </r>
  </si>
  <si>
    <r>
      <t xml:space="preserve">Results:
- past studies are underpowered to detect effects of the magnitude to be found
- researchers seeking to demonstrate equivalce of training approaches do not use appropirate statistical tests
- Studies often use performance criterion test beds that may not support valid conclusions about trainees' future performance on the job.
</t>
    </r>
    <r>
      <rPr>
        <b/>
        <sz val="12"/>
        <color theme="1"/>
        <rFont val="Calibri"/>
        <family val="2"/>
        <scheme val="minor"/>
      </rPr>
      <t xml:space="preserve">This article studies the small body of existing research comparing simulation modalities for SBT in health care with the goal of exposing methodological issues. </t>
    </r>
    <r>
      <rPr>
        <sz val="12"/>
        <color theme="1"/>
        <rFont val="Calibri"/>
        <family val="2"/>
        <scheme val="minor"/>
      </rPr>
      <t xml:space="preserve">
This article sets recommendations for making comparative studies between different SBT research methods:
1. Sample sufficient snumbers of participants to detect significant effects
2.1. Report reliability statistically appropriate estimates
2.2. Use robust measurement protocols to ensure highly-reliable measurement
3. Choose alpha levels (different from the typical 0.05 to declare statistical significance) to sensibly balance relative risks of errors. 
4.1. For tests that fail to detect differences between experimental conditions, avoid erroneously accepting the null hypothesis.
4.2. When proving the null hypothesis is a research goal, use strong null hypothesis statistical testing.
5.1. Use criterion performance test beds that correspond highly to the conditions and demands that trainees will face on the job.
5.2. When simulators must be used as criterion test beds, usecrossed-criterion desings to reduce bias and strngthen inferences. 
</t>
    </r>
    <r>
      <rPr>
        <b/>
        <sz val="12"/>
        <color theme="1"/>
        <rFont val="Calibri"/>
        <family val="2"/>
        <scheme val="minor"/>
      </rPr>
      <t>20 articles included; does not mention the initial number of studies found</t>
    </r>
    <r>
      <rPr>
        <sz val="12"/>
        <color theme="1"/>
        <rFont val="Calibri"/>
        <family val="2"/>
        <scheme val="minor"/>
      </rPr>
      <t xml:space="preserve">. </t>
    </r>
  </si>
  <si>
    <r>
      <t xml:space="preserve">Search of 441 articles and after removal and exclusion criteria: 46 remained for full-text screening. 8 studies were finally included in the study.  Three categories:
 - effectiveness: 4 studies reported effectiveness of SBTE for medical students 
 - student perception: in general student perception is positive
 - simulation modalities: only one study directly compres two different modalities and they demonstrated that medical student performance in trauma management showned no difference but studsnts preferred the mechanical model vs a standardize live patient. 
Although the evidence is limited, all but one study support the use of SBTE in the undergraduate medical curriculum. It appears to be an effective method to prepare medical students for trauma resuscitation. Furthermore, SBTE is generally highly appreciated by medical students. They experience
the simulation as interesting and enjoyable, and indicate they would benefit from more exposure to simulation in the medical curriculum.
Ongoing educational research is still needed to validate long-term retention of knowledge and skills, and to demonstrate the improvement in patient safety and overall quality of care. The best modality for simulating trauma scenarios in undergraduate medical education is yet to be determined
</t>
    </r>
    <r>
      <rPr>
        <b/>
        <sz val="12"/>
        <color theme="1"/>
        <rFont val="Calibri"/>
        <family val="2"/>
        <scheme val="minor"/>
      </rPr>
      <t>441 articles in the first search; 11 included in the article</t>
    </r>
  </si>
  <si>
    <r>
      <t xml:space="preserve">Aim was to describe what ambulance nurses and paramedics in prehospital emergency care perceive as important for learning when simulation exercises. 
Results: important aspects are: repetitions, realism, being able to coummunicate with patient and debriefing. 
- Interaction with a physiolocically accurante manikin improved knowledge and experiences. 
- Opportunity to comunicate with the patient enhaced realism and learning experience.
- Virtual patients were only to a certain degree perceived as realistic due to the perception that actual patients demanded a more complex intervention than the simulation exercises entalied. 
To provide sufficient time to perform each scenario was give is considered important. 
</t>
    </r>
    <r>
      <rPr>
        <b/>
        <sz val="12"/>
        <color theme="1"/>
        <rFont val="Calibri"/>
        <family val="2"/>
        <scheme val="minor"/>
      </rPr>
      <t xml:space="preserve">1125 articles in the first search, 7 articles met the inclusion criteria. </t>
    </r>
  </si>
  <si>
    <r>
      <t xml:space="preserve">All studies found statistical improvement in performance after simulation training. Also simulation impacts positively in retention of the simulation skills. Clinicians who had simulation training are more likely to adhere to clinical guidelines; also team performance is better after simulation training. 
Most of the studies included limitations in their studiest
</t>
    </r>
    <r>
      <rPr>
        <b/>
        <sz val="12"/>
        <color theme="1"/>
        <rFont val="Calibri"/>
        <family val="2"/>
        <scheme val="minor"/>
      </rPr>
      <t xml:space="preserve">
92 first search; 7 studies inluded in the article </t>
    </r>
  </si>
  <si>
    <r>
      <t xml:space="preserve">Questions:
- What is reported in the existing literatura on training in PT in medical curricula?
- What teaching methods are used in PT education in medical curricula?
What is the evidence of impact of PT training in medical curricula?
</t>
    </r>
    <r>
      <rPr>
        <b/>
        <sz val="12"/>
        <color theme="1"/>
        <rFont val="Calibri"/>
        <family val="2"/>
        <scheme val="minor"/>
      </rPr>
      <t xml:space="preserve">The initial search was of 692 articules; finally, 9 were included in this study. </t>
    </r>
    <r>
      <rPr>
        <sz val="12"/>
        <color theme="1"/>
        <rFont val="Calibri"/>
        <family val="2"/>
        <scheme val="minor"/>
      </rPr>
      <t xml:space="preserve">
Three articles discussed the role and effectiveness of implementing TMCs (Trauma Management Courses) at the indergraduate level. There are a variety of different trauma courses that are applied in different medical schools with different procedures. The use of simulation to teach rechnical and non-technical skills was described in four articles. The outcome was that students found learning in a simulation setting more useful compared with traditional lectures on trauma topics. 
Finding reveal a relative lack of research on eductaion in PT in undergraduate medical training:
- in some cases, little time spent in trauma education
- in some cases, limited evidence on the learning acheved from trauma education
- traditional classroom teaching was viewed by students as inadequate
- the focus should be on creating effective trauma educational programmes integrated into the curriculum; lack of standardisation of trauma education in undergraduate medical curricula. 
In general, there is a paucity of literature on PT training in undergraduate medical curricula. </t>
    </r>
  </si>
  <si>
    <r>
      <rPr>
        <b/>
        <sz val="12"/>
        <color theme="1"/>
        <rFont val="Calibri"/>
        <family val="2"/>
        <scheme val="minor"/>
      </rPr>
      <t>509 articles were included within the first search and at the end, 29 articles were considered.</t>
    </r>
    <r>
      <rPr>
        <sz val="12"/>
        <color theme="1"/>
        <rFont val="Calibri"/>
        <family val="2"/>
        <scheme val="minor"/>
      </rPr>
      <t xml:space="preserve">
Most CRM training courses are directed by military personnel. Analysis following the Kirkpatrick model. All interventions reviewed resulted in improved knowledge, skill, and attitudes, however, complex multimodal simulative experiences were the only intervention type to result in persisting behavioral change in trauma personnel.
None of the 29 articles included in this systematic review were able to measure or demonstrate significant objective clinically persistent impact to the clinical trauma patient population, particularly in mortality and morbidity.
Only USA-based courses were able to demonstrate behavioral change in their trauma personnel.
This systematic review found CRM training to have an overwhelmingly positive impact on confidence, preparedness, and teamwork in trauma personnel. Whereas UK-based CRM training predominantly focused on limited participants undertaking training in specific tasks without evidence of behavioral change, USA-based training was more likely to focus on behavior outcomes and nontechnical skills utilizing multidisciplinary teams with high-fidelity in-situ training. CRM has the potential to significantly improve participant satisfaction in training, participant learning, participant teamwork behaviors, and most importantly clinical care outcomes in the management of the trauma patient population.</t>
    </r>
  </si>
  <si>
    <t>JOURNAL OF MEDICAL INTERNET RESEARCH
Q1</t>
  </si>
  <si>
    <t>Process for planning, filming, and producing trauma care training videos. 
20 live and simulated trauma resuscitations ni a trauma bay were recorded during 6 months. 
The project aimed to increase teamwork and empathy by allowing learners to experience the prespectives of their colleagues through cineVR. Therefore, some key personnel were identified:
1. Team leader
2. Nurse
3. Airway procider (usually anesthesia resident)
4. Attending physician
5. Chartin nurse
6. Patient
Therefore, traumas were capture from these perspectives begerating 6 videos for every trauma event. 
It is more focused on the VR development of the tool than on the real use of the tool and the impact in trauma management training.</t>
  </si>
  <si>
    <t>European Journal of Anesthesiology
Q1</t>
  </si>
  <si>
    <t>A three-day course can increase knowledge and interest in disaster medicine for medical students.</t>
  </si>
  <si>
    <t>Está en sueco…... No lo incluimos.</t>
  </si>
  <si>
    <r>
      <t xml:space="preserve">Methods: A five-part, scenario-based trauma curriculum was developed specifically for this study. Midlevel surgical residents were randomized to receiving this curriculum in didactic lecture (LEC) fashion or with the use of a human performance simulator (HPS). A written learning objectives test was administered at the completion of the training. The first four major trauma resuscitations performed by each participating resident were captured on videotape in the emergency department and graded by two experienced judges blinded to the method of training. The assessment tool used by the judges included an evaluation of both initial trauma  valuation or treatment skills (part I) and crisis management skills (part II) as well as an overall score (poor/fail, adequate, or excellent). 
Results: The two groups of residents received almost identical scores on the posttraining written test. </t>
    </r>
    <r>
      <rPr>
        <b/>
        <sz val="12"/>
        <color rgb="FF0070C0"/>
        <rFont val="Calibri (Cuerpo)"/>
      </rPr>
      <t>Average SIM and LEC scores for part I were also similar between the two groups. However, SIM-trained residents received higher overall scores and higher scores for part II crisis management  kills compared with the LEC group, w</t>
    </r>
    <r>
      <rPr>
        <sz val="12"/>
        <color theme="1"/>
        <rFont val="Calibri"/>
        <family val="2"/>
        <scheme val="minor"/>
      </rPr>
      <t>hich was most evident in the scores received for the teamwork category (p _x0001_ 0.04). 
Conclusions: A trauma curriculum incorporating simulation shows promise in developing crisis  management skills that are essential for evaluation of critically injured patients.</t>
    </r>
  </si>
  <si>
    <r>
      <rPr>
        <b/>
        <sz val="12"/>
        <color theme="1"/>
        <rFont val="Calibri"/>
        <family val="2"/>
        <scheme val="minor"/>
      </rPr>
      <t>Background</t>
    </r>
    <r>
      <rPr>
        <sz val="12"/>
        <color theme="1"/>
        <rFont val="Calibri"/>
        <family val="2"/>
        <scheme val="minor"/>
      </rPr>
      <t xml:space="preserve">: Simulation-based medical education enables knowledge, skills and attitudes to be acquired for all healthcare professionals in a safe, educationally orientated and efficient manner. Procedure-based skills, communication, leadership and team working can be learnt, be measured and have the potential to be used as a mode of certification to become an independent practitioner.
</t>
    </r>
    <r>
      <rPr>
        <b/>
        <sz val="12"/>
        <color theme="1"/>
        <rFont val="Calibri"/>
        <family val="2"/>
        <scheme val="minor"/>
      </rPr>
      <t>Results</t>
    </r>
    <r>
      <rPr>
        <sz val="12"/>
        <color theme="1"/>
        <rFont val="Calibri"/>
        <family val="2"/>
        <scheme val="minor"/>
      </rPr>
      <t xml:space="preserve">: Simulation-based training initially began with life-like simulators and now encompasses an entire range of systems, from synthetic models through to high fidelity simulation suites. These models can also be used for  training in new technologies, for the application of existing technologies to new environments and in prototype testing. The level of simulation must be appropriate to the learners’ needs and can range from focused tuition to mass trauma scenarios. The development of simulation centres is a global phenomenon which should be encouraged, although the facilities should be used within appropriate curricula that are methodologically  found and cost-effective.
</t>
    </r>
    <r>
      <rPr>
        <b/>
        <sz val="12"/>
        <color theme="1"/>
        <rFont val="Calibri"/>
        <family val="2"/>
        <scheme val="minor"/>
      </rPr>
      <t>Discussion</t>
    </r>
    <r>
      <rPr>
        <sz val="12"/>
        <color theme="1"/>
        <rFont val="Calibri"/>
        <family val="2"/>
        <scheme val="minor"/>
      </rPr>
      <t xml:space="preserve">: </t>
    </r>
    <r>
      <rPr>
        <b/>
        <sz val="12"/>
        <color rgb="FF0070C0"/>
        <rFont val="Calibri (Cuerpo)"/>
      </rPr>
      <t>A study of current techniques reveals that simulation can successfully promote the competencies of medical expert, communicator and collaborator. Further work is required to develop the exact role of simulation as a training mechanism for scholarly skills, professionalism, management and health advocacy.</t>
    </r>
    <r>
      <rPr>
        <sz val="12"/>
        <color theme="1"/>
        <rFont val="Calibri"/>
        <family val="2"/>
        <scheme val="minor"/>
      </rPr>
      <t xml:space="preserve">
Figure 4 shows a simulation report card for patient safety showing the impact of simulation in different aspects: medical expert, communicator, collaborator, scholar, professional, manager and health advocate.</t>
    </r>
  </si>
  <si>
    <t>Over a 4-year period, from July 2007 to July 2010, all 30 PGY-1 residents starting surgical residency at our institution underwent specific preparatory didactic and skills training over a 9-week period. This consisted of mandatory weekly 1-hour and 3-hour sessions in the Simulation Center, representing a 4-fold increase in time in simulation laboratory training compared with the remainder of the year. Training occurred in 8 procedural skills areas (instrument use, knot-tying, suturing,  laparoscopic skills, airway management, cardiopulmonary resuscitation, central venous catheter, and
chest tube insertion) and in simulated patient care (shock, surgical emergencies, and respiratory, cardiac, and trauma management) using a variety of high- and low-tech simulation platforms.
All educational activities were structured to include preparatory materials, pretraining briefing sessions, and immediate in-training or post-training sessions and debriefing.
Individual simulation-based Boot Camp performance scores for cognitive and procedural skills assessments in PGY-1 residents correlate with subjective and objective clinical performance evaluations.</t>
  </si>
  <si>
    <t>Summary</t>
  </si>
  <si>
    <t>Yes</t>
  </si>
  <si>
    <t>yes</t>
  </si>
  <si>
    <t>no</t>
  </si>
  <si>
    <t>Trauma specific</t>
  </si>
  <si>
    <t>Technical procedures</t>
  </si>
  <si>
    <t>Teamwork procedures</t>
  </si>
  <si>
    <t>No</t>
  </si>
  <si>
    <t>It is more focused on great emergencies like a terror attack or something similar. A virtual environment is created using Seconf Life and OpenSimulator. Different scenarios are created and you can access the scenario taking into account different roles: paramedic, nurse, ED doctor, surgeon, anaesthesist or team leader. 23 pre-hospital and hospital-based clinicians tool part in one of the three major incident scenarios: a pre-hospital bomb blast site, a blast casualty in a resuscitation rrom and a hospital command and control scenario. 
The feasibility and face/content validity of using low-cost virtual worlds for multi-agency major incident simulation has been established. Major incident planners and trainers should explore
utilising this technology as an adjunct to existing methodologies. Future work will involve development of robust assessment metrics.</t>
  </si>
  <si>
    <r>
      <t>A controlled, blinded educational trial of 44 final-year</t>
    </r>
    <r>
      <rPr>
        <b/>
        <sz val="12"/>
        <color theme="1"/>
        <rFont val="Calibri"/>
        <family val="2"/>
        <scheme val="minor"/>
      </rPr>
      <t xml:space="preserve"> medical students</t>
    </r>
    <r>
      <rPr>
        <sz val="12"/>
        <color theme="1"/>
        <rFont val="Calibri"/>
        <family val="2"/>
        <scheme val="minor"/>
      </rPr>
      <t xml:space="preserve"> was carried out at Frankfurt Medical School; 22 students completed the former curriculum as the control group and 22 the new curriculum as the  intervention group. The intervention consists of simulation-based training with theoretical and simulation-based training sessions in realistic encounters based on the Basic Life Support (BLS), Advanced Cardiac Life Support (ACLS) and adapted Advanced Trauma Life Support </t>
    </r>
    <r>
      <rPr>
        <b/>
        <sz val="12"/>
        <color theme="1"/>
        <rFont val="Calibri"/>
        <family val="2"/>
        <scheme val="minor"/>
      </rPr>
      <t>(ATLS) training</t>
    </r>
    <r>
      <rPr>
        <sz val="12"/>
        <color theme="1"/>
        <rFont val="Calibri"/>
        <family val="2"/>
        <scheme val="minor"/>
      </rPr>
      <t xml:space="preserve">. Further common emergencies were integrated corresponding to the course objectives. All students faced a performance-based assessment in a 10 station Objective Structured Clinical Examination (OSCE) using checklist rating within a maximum of 4 months after completion of the intervention.
</t>
    </r>
    <r>
      <rPr>
        <b/>
        <sz val="12"/>
        <color theme="1"/>
        <rFont val="Calibri"/>
        <family val="2"/>
        <scheme val="minor"/>
      </rPr>
      <t xml:space="preserve">Results: </t>
    </r>
    <r>
      <rPr>
        <sz val="12"/>
        <color theme="1"/>
        <rFont val="Calibri"/>
        <family val="2"/>
        <scheme val="minor"/>
      </rPr>
      <t xml:space="preserve">The intervention group performed significantly better at all of the 10 OSCE stations in the checklist rating (p&lt;0.0001 to p¼0.016). They used mobile manikins in the simulation training center. Also scenario rooms were used for the realistic simulation of clinical events. Stations: acute coronary syndrome, stroke, asthma, trauma, in-hospital CPR, prehospital CPR with AED, ECG attachment and interpretation, intraosseoaus access, helmet removal ans stiff nech, infant CPR.  All were done with manikin exeptf for the frist three ones which were made with standardised patient. </t>
    </r>
  </si>
  <si>
    <r>
      <t xml:space="preserve">Simulation can benefit the individual learner, the multidisciplinary team, and the hospital as a whole. In this article, the authors discuss the role of simulation in five situations namely undergraduate teaching, postgraduate training, continuing medical education, disaster management, and military trauma management and dwell upon the experience of medical simulation in the Armed Forces.
Screen-based graphical simulators provide a more realistic representation, are portable, and relative less costly. These help one to understand the conceptual theory underlying drugs but usually do not confer actual practical skills. They also prevent the learner from being fully immersed in the situation and require active ‘stage management’ of scenario in response to interventions.
</t>
    </r>
    <r>
      <rPr>
        <b/>
        <sz val="12"/>
        <color theme="1"/>
        <rFont val="Calibri"/>
        <family val="2"/>
        <scheme val="minor"/>
      </rPr>
      <t xml:space="preserve">Great classification of different types of simulators. </t>
    </r>
  </si>
  <si>
    <r>
      <t>This novel application was developed utilising internationally recognised</t>
    </r>
    <r>
      <rPr>
        <b/>
        <sz val="12"/>
        <color theme="1"/>
        <rFont val="Calibri"/>
        <family val="2"/>
        <scheme val="minor"/>
      </rPr>
      <t xml:space="preserve"> Advanced Trauma Life Support (ATLS) principles</t>
    </r>
    <r>
      <rPr>
        <sz val="12"/>
        <color theme="1"/>
        <rFont val="Calibri"/>
        <family val="2"/>
        <scheme val="minor"/>
      </rPr>
      <t xml:space="preserve">, requiring decision-making skills for critically-injured virtual-patients. Methods: Participants were recruited in June, 2016 at a single-centre trauma-course (ATLS, Leinster, Ireland) and trialled the platform. Simulator performances were correlated with individual expertise and course-performance measures. A post-intervention questionnaire relating to validity-aspects was completed.
</t>
    </r>
    <r>
      <rPr>
        <b/>
        <sz val="12"/>
        <color theme="1"/>
        <rFont val="Calibri"/>
        <family val="2"/>
        <scheme val="minor"/>
      </rPr>
      <t>Results:</t>
    </r>
    <r>
      <rPr>
        <sz val="12"/>
        <color theme="1"/>
        <rFont val="Calibri"/>
        <family val="2"/>
        <scheme val="minor"/>
      </rPr>
      <t xml:space="preserve"> Eighteen(81.8%) eligible-candidates and eleven(84.6%) course-instructors voluntarily participated. The survey-responders mean-age was 38.9(±11.0) years with 80.8% male predominance. The instructor-group caused significantly</t>
    </r>
    <r>
      <rPr>
        <b/>
        <sz val="12"/>
        <color theme="1"/>
        <rFont val="Calibri"/>
        <family val="2"/>
        <scheme val="minor"/>
      </rPr>
      <t xml:space="preserve"> less fatal-errors </t>
    </r>
    <r>
      <rPr>
        <sz val="12"/>
        <color theme="1"/>
        <rFont val="Calibri"/>
        <family val="2"/>
        <scheme val="minor"/>
      </rPr>
      <t>(p &lt; 0.050) and proportions of</t>
    </r>
    <r>
      <rPr>
        <b/>
        <sz val="12"/>
        <color theme="1"/>
        <rFont val="Calibri"/>
        <family val="2"/>
        <scheme val="minor"/>
      </rPr>
      <t xml:space="preserve"> incorrect-decisions </t>
    </r>
    <r>
      <rPr>
        <sz val="12"/>
        <color theme="1"/>
        <rFont val="Calibri"/>
        <family val="2"/>
        <scheme val="minor"/>
      </rPr>
      <t xml:space="preserve">(p &lt; 0.050). The VR-hardware and trauma-application's mean ratings were 5.09 and 5.04 out of 7 respectively. Participants reported it was an enjoyable method of learning (median-6.0), the learning platform of choice (median-5.0) and a cost-effective training tool (median-5.0).
Performance scores were automatically recorded at simulation completion. These variables included:
</t>
    </r>
    <r>
      <rPr>
        <b/>
        <sz val="12"/>
        <color theme="1"/>
        <rFont val="Calibri"/>
        <family val="2"/>
        <scheme val="minor"/>
      </rPr>
      <t>Number of Correct Decisions, Number of Incorrect Decisions, Number of Correct Diagnoses, Number of Incorrect Diagnoses, Number of Patient Deaths and Time Taken.</t>
    </r>
  </si>
  <si>
    <t>AMERICAN JOURNAL OF SURGERY
Q2</t>
  </si>
  <si>
    <t xml:space="preserve">STARTT: Development of a national, multidisciplinary trauma crisis resource management curriculum-results from the pilot course </t>
  </si>
  <si>
    <r>
      <t xml:space="preserve">STARTT was an 8-hour course introduced by two 1-hour lectures entitled An Introduction to CRM Principles and Trauma Team Roles. The first lecture offered a view of the history of CRM in the airline industry followed by a discussion highlighting the five CRM basic principles of </t>
    </r>
    <r>
      <rPr>
        <b/>
        <sz val="12"/>
        <color theme="1"/>
        <rFont val="Calibri"/>
        <family val="2"/>
        <scheme val="minor"/>
      </rPr>
      <t>(1) leadership, (2) communication, (3) situational awareness, (4) teamwork, and (5) resource use and strategies</t>
    </r>
    <r>
      <rPr>
        <sz val="12"/>
        <color theme="1"/>
        <rFont val="Calibri"/>
        <family val="2"/>
        <scheme val="minor"/>
      </rPr>
      <t xml:space="preserve"> illustrating how they can be applied in a trauma bay environment. The second lecture discussed the design and layout of a trauma bay and the organization of a trauma team in a tertiary care environment, describing the individual roles of the multidisciplinary team members.
Participants were then brought to the simulation laboratory and oriented to the simulator and equipment. Participants were divided into teams of four to six residents (postgraduate year [PGY] 1Y6), one to two nurses, and one RTand rotated through four standardized highfidelity trauma simulations using a Laerdal Simman.</t>
    </r>
    <r>
      <rPr>
        <b/>
        <sz val="12"/>
        <color theme="1"/>
        <rFont val="Calibri"/>
        <family val="2"/>
        <scheme val="minor"/>
      </rPr>
      <t xml:space="preserve"> Each simulation lasted for 15 minutes.</t>
    </r>
    <r>
      <rPr>
        <sz val="12"/>
        <color theme="1"/>
        <rFont val="Calibri"/>
        <family val="2"/>
        <scheme val="minor"/>
      </rPr>
      <t xml:space="preserve">
Four separate trauma scenarios including traumatic brain injury, penetrating torso trauma, blunt thoracoabdominal trauma, and spinal cord injury. While overall teamwork, leadership, and communication skills were the focus of all simulations, each scenario was designed to present
a specific CRM challenge.</t>
    </r>
  </si>
  <si>
    <t>Children focused and takes into account phycological traumas.</t>
  </si>
  <si>
    <t>Focused on how emergency medicine has evolved along histoary and how there is now a specific training for EM.</t>
  </si>
  <si>
    <t>Focued in Certification process and no details wrt the simulation used</t>
  </si>
  <si>
    <t>The objective of this study was to determine whether simulation could be used to provide teams the experiences in managing scenarios that require the use of heuristic as well as analytic diagnostic skills to effectively recognize and treat potentially life-threatening injuries.
Ten scenarios were developed to assess the ability of trauma teams to provide initial care to a severely injured patient. Seven standard scenarios simulated severe injuries that once diagnosed could be effectively treated using standardAdvanced Trauma Life Support algorithms. Because diagnostic error occursmore commonly in complex clinical settings, 3 complex scenarios required teams to use more advanced diagnostic skills to uncover a coexisting condition and treat the patient. Teams composed of 3 to 5 practitioners were evaluated in the performance of 7 (of 10) randomly selected scenarios (5 standard, 2 complex). A mannequin is used. 
This study indicates that simulation can be used to model scenarios that include heuristic approaches to diagnosis as well as scenarios that require a more analytic approach by teams.</t>
  </si>
  <si>
    <t>It is focused on studying how patients are treated and why the normal trauma treatment flow is disrupted.</t>
  </si>
  <si>
    <t>Skills assessment was carried out across three scenarios.The pre-hospital scenario required paramedics to triage and treatcasualties at the site of an explosion.Technicalskillsassessment forms were developed using training syllabus competencies and national guidelines identified by pre-hospital response experts.Non-technicalskills were assessed using a seven-point scale previously developed for use by pre-ospital paramedics.The two in-hospital scenarios,focusing on a trauma team leader and asilver/clinical major incident co-ordinator,utilised the validated Trauma-NOTECHS scale to assess five domains of performance.Technical competencies were assessed using an ATLS-style competency scale for the trauma scenario.For the silver scenario, the assessment document was developed using competencies described from a similar role description in areal-life hospital major incident plan.The technical and non-technical performance of all participants was assessed live by two experts in each of  the three scenarios and inter-assessor reliability was computed. Participants also self-assessed their performance using identical proformas immediately after the scenarios were completed.
Twenty-three participants underwent all scenarios and assessments. Performance assessments were feasible for both experts as well as the participants. Non-technical performance was generally scored higher than technical performance. This study establishes feasibility and reliability of virtual environment technical and non- technical skillsassessment in major incident scenarios for the first time.
Based on major events scenarios.</t>
  </si>
  <si>
    <t>Very specific on a single procedure.</t>
  </si>
  <si>
    <t xml:space="preserve">ISS can serve several roles within emergency medicine (EM): improves provider/team performance, identifies and mitigates threats to patient safety and improves systems and infrastructure. 
The effective use of
ISS fosters inter-professional team training and a culture of safety essential for high performance EM
teams and resilient systems. Using a case example, this article addresses the uses of ISS in EM, strategies for implementation and mitigation strategies for ED-specific challenges.
In situ simulation (ISS) is defined as a ‘team-based training technique conducted in the actual patient care environment using equipment and resources from that unit and involving actual members of the healthcare team’.
It is a literature search and 117 articles were considered. Applicability of ISS in a case example to identify team and process-based challenges during the performance of a surgical airway. It is not explained how the simulation was done, only the conclusions focusing in identifying the challenges and the mitigation strategies. </t>
  </si>
  <si>
    <t xml:space="preserve">4 trauma teams of 7-8 persons were recruites to participate in the simulation-based educational program:
- Pretest
- Simulation-based educational intervention 2 months later
- Postest: 3 months later
Simulation-based intervention included: a 1-day course at eh simulation center. The course comprised skill stations: airway management, chest trauma management, hemorrhage control and shock management, and short focused simulations of a multitrauma patient. 
The mobile high-fidelity patient simulator used was SimMan 3G by Laerdal. 
Four unique 45-minute long scenarios were specially designed. Two video cameras recorded the scenarios via 10 parameters : ATLS, teamwork, communication, safety, preparation, patient handoff, airway management, chest trauma treatment, shock and hemorrhage control, and transport. 
The most striking progress was noticed in the behavioral parameters such as teamwork and communication. Improvements were also seen in skills such as patient handoff and hemorrhage control. </t>
  </si>
  <si>
    <t>A 5-day trauma course was designed for Nicaraguan attending and senior resident physicians who practice at six hospitals in Managua, Nicaragua. On days 1 and 5, participants underwent pre- and post-training evaluations consisting of a 26-question written exam and 2 simulation cases. The written exam questions and simulations were randomly assigned so that no questions or cases were repeated.
A total of 33 participants attended the course; after the course overall written examination scores improved 26.3%. Overall, simulation scores based on the number of critica actions completed improved by 91%. The time to creitical action for completion of the primeary survey and cervical spine immobilisation was reduced by 55%. 
Low-cost simulation can be a valuable and effective education tool in low and middle-income countries. The procedure labs were three procedure stations: tube thoracostomy, cricothyrotomy, and pericardiocentesis. The simulation cases were videotaped and were performed by members that had a training as standardised patients.  
This study was unique in implementing trauma simulations and measuring the time elapsed to critical actions in a low-resource setting. Improvement in both didactic and simulation scores demonstrates acquisition of knowledge through this trauma training course. This course demonstrates that medical simulation, which has been an effective educational tool in high-income countries like the United States, can be implemented in low- and middle-income countries at a low-cost.</t>
  </si>
  <si>
    <t>INJURY-INTERNATIONAL JOURNAL OF THE CARE OF THE INJURED
Q2</t>
  </si>
  <si>
    <r>
      <t>Simulation is still an important tool in airway management training, although a more realistic simulator is needed.
This articles presents all the</t>
    </r>
    <r>
      <rPr>
        <b/>
        <sz val="12"/>
        <color theme="1"/>
        <rFont val="Calibri"/>
        <family val="2"/>
        <scheme val="minor"/>
      </rPr>
      <t xml:space="preserve"> different types of simulations </t>
    </r>
    <r>
      <rPr>
        <sz val="12"/>
        <color theme="1"/>
        <rFont val="Calibri"/>
        <family val="2"/>
        <scheme val="minor"/>
      </rPr>
      <t>explaining how they work and the current situations providing, in some cases, improvements or highlighting gaps. The simulation areas highlighted are:
- simulated patients
- skills training
- computerized patient simulators
- team training
- surgical training
- virtual reality
- web-based teaching
It is important to recognize the broad spectrum of simulation modalities and devices and to use simulation in a cost-effective manner, while recognizing SBME’s limitations and adjusting the training program and the simulation tools to the target population and the educational goals. Each simulation modality should be used in a targeted and thoughtful manner, which accounts for the relevant strengths and weaknesses of each respective modality. Simulation technologies should supplement, not replace, the traditional methods of teaching cognitive knowledge.</t>
    </r>
  </si>
  <si>
    <t>Trauma is the most common cause of death between the ages of 1–46 and is the cause of the most common cause of life-years lost, before the age of 75 years, compared to all other etiologies.Mortality from hemorrhage is the most common cause of preventable death after traumatic injury. Zero preventable deaths after traumatic injury is an achievable goal. To achieve
this goal a systematic approach is needed that can be modeled as an LHCS. Trauma research is the lowest funded illness per burden of disease compared to all other diseases. Increased resources
and an integrated military and civilian trauma system is needed to achieve zero preventable deaths after injury in the United States.</t>
  </si>
  <si>
    <t>Digital simulation, VE, serious games—whatever the field may called—will never totally replace the need for clinical and surgical training exploiting physical mannequins (which are increasing in sophistication on an almost monthly basis) or live moulage exercises with actors. The technology certainly has the potential to supplement physical and live training as part of a blended ‘live–
virtual’ solution, helping trainees to prepare and rehearse using virtual contexts, but will never replace the live experience altogether. The success of the technology in establishing a significant role in the future of general and specialist medical training depends on a clear understanding that a reliance on technology per se will invariably result in failure to deliver a solution that is both future-proof and, most importantly, fit for human use.
Once again is a study of the different types of virtual learning tools in medical teaching.</t>
  </si>
  <si>
    <t>No, but trauma is considered</t>
  </si>
  <si>
    <r>
      <t xml:space="preserve">The Advanced Trauma Operative Management (ATOM) course uses standardized porcine simulation to teach the repair of penetrating trauma. It is offered in 26 sites in the United States, Canada, Africa, the Middle East, and Japan. The purpose of the present study was to query ATOM participants regarding their perceptions of the value and influence of the ATOM course on knowledge, confidence, and skill to repair penetrating injuries.
An anonymous, voluntary survey was posted on the Internet at surveymonkey.com. E-mail notification was sent to all 1,001 ATOM participants through May 2008.
A total of 962 surgeons received the request to complete the survey; 444 ATOM participants from 36
states and 17 countries participated, for a response rate of 46%. Range of agreement with all of the items was 75.4– 99.0%. Results include the following: 78.9% (95% CI, 74.7–82.6%) can identify injuries more quickly; 80.7% (95% CI, 76.6–84.3%) have a more organized operative approach; 81.1% (95% CI, 77.0–84.6%) can control bleeding more quickly; 86.1% (95% CI, 82.4–89.2%) can
control injuries more effectively; 86.4% (95% CI, 82.7– 89.4%) are more competent trauma surgeons; 87.0% are more confident (95% CI, 83.4–89.9%), and 89.2% are more knowledgeable (95% CI, 85.8–91.8%) about repairing penetrating injuries; 99% (95% CI, 97.4–99.7%) said ATOM is worthwhile. Overall, 87.4% of the comments were positive.
</t>
    </r>
    <r>
      <rPr>
        <b/>
        <sz val="12"/>
        <color theme="1"/>
        <rFont val="Calibri"/>
        <family val="2"/>
        <scheme val="minor"/>
      </rPr>
      <t>FOCUS ON ATOM, A UNIQUE SINGLE COURSE.</t>
    </r>
  </si>
  <si>
    <t>REPETIDO</t>
  </si>
  <si>
    <t>The aim of this paper is to describe a simple method of training which can be easily integrated into the daily routine of a pre-hospital service, without prohibitive cost.
“Simple” mannequin simulation refers to the use of mannequins without features like advanced vital signs or programmed response simulation (commonly referred to as high fidelity simulators). Commonly available simple mannequin models include the Laerdal Resuscitation Anne, Ultimate Hurt, Crash Kelly and AmbuMan.
Pilots, fire-fighters and medical students are utilised in scenarios to enhance realism by taking up roles as bystanders, additional ambulance staff and police. These scenario participants are briefed and introduced to the scene in a realistic manner. After completion of the scenario, the training team would usually be invited to prepare and deliver a hospital handover as they nwould in a real mission. A formal structured debrief then takes place.
Informal participant feedback suggests that this is a very useful teaching method, both for improving motor skills, critical decision-making, scene management and team interaction. Although formal assessment of this technique has not yet taken place we describe how this type of training is conducted in a busy operational pre-hospital trauma service.</t>
  </si>
  <si>
    <r>
      <t xml:space="preserve">Focus on resuscitation training. 
</t>
    </r>
    <r>
      <rPr>
        <sz val="12"/>
        <color theme="1"/>
        <rFont val="Calibri"/>
        <family val="2"/>
        <scheme val="minor"/>
      </rPr>
      <t xml:space="preserve">However, the high purchasing cost, limited portability, technical expertise and organisational skills required to coordinate these high-fidelity simulation centres are factors that limit their use as a wide-spread teaching and learning method. Creative innovation is required. The aim of this study was to pilot an inexpensive, portable, novel high fidelity humanistic simulation modality, for educating nurses and doctors in recognising and responding to the deteriorating patient.
</t>
    </r>
    <r>
      <rPr>
        <b/>
        <sz val="12"/>
        <color theme="1"/>
        <rFont val="Calibri"/>
        <family val="2"/>
        <scheme val="minor"/>
      </rPr>
      <t xml:space="preserve">
</t>
    </r>
    <r>
      <rPr>
        <sz val="12"/>
        <color theme="1"/>
        <rFont val="Calibri"/>
        <family val="2"/>
        <scheme val="minor"/>
      </rPr>
      <t xml:space="preserve">The conversations and observations from the focus group sessions were audio and video recorded and transcribed. Interpretation of the data elicited from participants occurred as an iterative process commencing with watching the videos and listening to the audio recordings of data.
The hybrid approach would see Mask-Ed™ (KRS Simulation) being combined with ALSi (iSImulate Pty Ltd) a patient simulation technology that is relatively low cost. The ALSi simulator monitor simulates advanced life support monitors and aims to be interactive, realistic, easy to use, versatile, portable and affordable. The system consists of two iPads that communicate with each other. One is customised to look like a portable cardiac monitor and defibrillator (Fig. 2). The second becomes the control centre for the educator who can then produce various cardiac conditions to appear on the screen of the first iPad, allowing learners to identify, diagnose and respond. It involved the educator dressed and role playing a deteriorating patient, the monitor shows a common cardiac rhythm disturbance should trigger the decision to call the rapid response team. Learners included a range of health professionals. </t>
    </r>
  </si>
  <si>
    <t>not exclusively; takes into account any scenario that a resuscitation way be required.</t>
  </si>
  <si>
    <t xml:space="preserve">not exclusively; takes into account critical care patients. </t>
  </si>
  <si>
    <r>
      <t xml:space="preserve">The purpose of this study was to determine whether multiple-simulation exposure (MSE) or
single-simulation exposure (SSE) improved residents’ recognition of shock and initial management
of the critically ill simulated surgical patient.
Data were collected at a level 1 trauma center. Surgery, anesthesiology, and emergency medicine residents were given a multiple-choice question (MCQ) pretest before a tutorial on the recognition and management of shock followed by high-fidelity simulation/debriefing and MCQ post-test.
MSE residents had 1.5 hours of simulation per resident over 3 days, and SSE residents had 1.5 hours of simulation as a group in 1 day. Pre- and posttest comparisons overall and subgroup analysis for MSE versus SSE were performed.
There were no differences in pre- or posttest performance for MSE residents during the first
4 months of the academic year versus the last 4 months. Pretest performance over 12 months of observation for MSE residents showed no significant differences.
</t>
    </r>
    <r>
      <rPr>
        <b/>
        <sz val="12"/>
        <color theme="1"/>
        <rFont val="Calibri"/>
        <family val="2"/>
        <scheme val="minor"/>
      </rPr>
      <t>Repeated simulation exposure was more effective than single simulation exposure</t>
    </r>
    <r>
      <rPr>
        <sz val="12"/>
        <color theme="1"/>
        <rFont val="Calibri"/>
        <family val="2"/>
        <scheme val="minor"/>
      </rPr>
      <t xml:space="preserve"> at
improving MCQ performance designed to measure the recognition and management of shock in
the critically ill simulated surgical patient. Duration of training did not impact MCQ performance.}
The curriculum is based on a set of objectives designed to simulate the manifestation of the four types of shock: hypovolemic, cardiogenic, obstructive, or distributive</t>
    </r>
  </si>
  <si>
    <r>
      <t xml:space="preserve">In conclusion, immersive VR was effective in teaching a single complex surgical skill to senior-level residents and was superior to a traditional method of learning in time to task completion and instrument handling in this blinded, randomized controlled trial.
</t>
    </r>
    <r>
      <rPr>
        <b/>
        <sz val="12"/>
        <color theme="1"/>
        <rFont val="Calibri"/>
        <family val="2"/>
        <scheme val="minor"/>
      </rPr>
      <t>FOCUSED ON A SPECIFIC SURGERY PROCEDURE IN ORTHOPAEDICS SURGERY</t>
    </r>
    <r>
      <rPr>
        <sz val="12"/>
        <color theme="1"/>
        <rFont val="Calibri"/>
        <family val="2"/>
        <scheme val="minor"/>
      </rPr>
      <t xml:space="preserve">
</t>
    </r>
  </si>
  <si>
    <t>There was a controversial discussion as to whether a country like Germany with a long history of trauma care needed ATLS at all. During the course, each participant evaluated each presentation, skill station, and simulation on a rating scale from 1 to 4 (1 being the best, 4 being the worst). The participants completed the evaluation forms during the course and before they received their results.
The cumulative evaluation of all courses revealed an average performance score of 1.39 (1.06–1.86;
n = 197). The lectures, skill stations, and simulations were individually evaluated as follows: lectures 1.61 (1.00–2.81; n = 197), skill stations 1.40 (1.00–2.40; n = 197), and surgical skill stations 1.35 (1.00–2.38; n = 197). Practical skills simulation (case scenarios) received the highest grade of 1.24 (1.00–1.57; n = 197). Our results also underline the value of such a course format in an industrial country with an already established trauma system.
16 participants in each course, 2-day training by up to 8 instructors. Looking at the number of courses and the participants, there was an increasing growth over the years.
To ensure the high quality of the ATLS courses in Germany in the future, we founded the ATLS research group. The aim of the group is to improve the quality of the provider courses. Furthermore, we are investigating to improve the sustainability of the knowledge and the skills taught in the course. The evaluation and development of the instructor courses is another step to improve not only the instructors but most of all the ATLS format.</t>
  </si>
  <si>
    <t>A new simulation model, originally developed for the scientific evaluation of methodology, was adapted to and developed for the postgraduate courses in Medical Response to Major Incidents (MRMI) organized under the auspices of the European Society for Trauma and Emergency Surgery (ESTES).
The simulation model was based on casualty cards giving all information normally available for the triage and primary management of traumatized patients. The condition of the patients could be changed by the instructor according to the time passed since the time of injury and treatments performed. Priority of the casualties as well as given treatments could be indicated on the cards by movable markers, which also gave the time required for every treatment. The exercises were run with real consumption of time and resources for all measures performed. Experienced trainees in several
courses evaluated the methodology to be accurate for this training, markedly increasing their perceived knowledge and skills in fields of importance for a successful outcome of the response to a major incident. One of the most commonly reported reasons for failure in this response is insufficient coordination/communication between involved units [8–11]. To train this coordination
and communication, it is necessary to train the whole chain of response simultaneously: scene, transport, the different components of the hospital response, as well as command and control functions on all levels. Such training should include also collaborating agencies like fire and rescue services, together with the police.
The simulation tool used in this study was the MACSIM (MAss Casualty SIMulation) system, originally developed for the evaluation and comparison of different triage methods in major incident response.</t>
  </si>
  <si>
    <t>not exclusively but the focus is on disasters</t>
  </si>
  <si>
    <t>FOCUSED ON HOW TO PASS THE ATLS COURSE MORE THAN HOW TO TEACH TRAUMA MANAGEMENT</t>
  </si>
  <si>
    <t>The purpose of this supplement is to check the use of computer games and simulation to teach and assess medical knowledge and skills. It is just an introduction of a 134 pages volumen with focus on military medicine.</t>
  </si>
  <si>
    <t>Primary Trauma Care Course (PTC): two days course with lectures, practical skill stations and case scenarios. 
First day content: primary survey, secondary survey, airway management, chest trauma, shock and circulation evaluation; with skill practices on moulaged patient for airway mngt and cervical spine mngt, in line neck immobilizatrion, log roll, physical exam of trauma patient and chest tube placemento on goat chest. 
Second day content: trauma mngt of abdomen, head, spine, pediatric trauma, pregnant trauma, burns; with a practice on moulaged patient, neurological physical exam, trauma radiology, analgesia and patient transport. 
At the end of each day, they had a case scenario practice based on the delivered lectures and skills stations. Knowledge was assessed by 30 Best Choice Questions (BCQs) pre and post and the trauma management was assessed on trauma scenario stations. Those scenarios are video recorded and marked on a 20 points check list. In addition, the degree to which the participants demonstrated
an organized approach to trauma care (organized score) was also graded by the examiners, with scores varying from 1 to 5.
20 participants: 8 final year medical students, 8 interns and four consultants (adjuntos). Total 19 participants had ≥70% post workshop knowledge score and 14 participants had post workshop score of ≥80%. However, only 4 participants had trauma skill score with ≥70 marks. Participants feedback of the workshop showed that all agreed that objectives were met clearly and it enhanced their knowledge and skills. However, one fourth disagreed or was undecided that adequate time was allowed for hands on practice. All scores were improved post workshop with statistical significance.</t>
  </si>
  <si>
    <t xml:space="preserve">Our study suggests that the mechanical simulator is a satisfactory substitute for training and testing students completing the ATLS course. Each of the students practiced on 1 live patient model and 1 simulator model. 
The evaluation tool used in this study is a questionnaire that reflects totally subjective opinions with no objective data presented to compare the patient model with the mechanical simulator model in teaching and testing ATLS resuscitation skills. Ideally, performance assessed by objective means such as multiple choice question examination and pass status in a course conducted while using the standardized patient, and a course using the mechanical simulator, will probably yield more reliable results that lend greater support to the contention that one of these models is superior to the other.
The comparison it is focused on seeing if one model or another is not challenging, interesting, dynamic, enjoyable, realistic and better in overall. </t>
  </si>
  <si>
    <r>
      <t>The primary objective of this study was thus to compare the levels of knowledge acquisition (short-term retention) and knowledge decay (long-term retention) between a VP train-ing session and a video-recorded traditional lecture of a spinal trauma case.
A total of 170 volunteers (85 medical students and 85 residents in orthopedic surgery) were randomly allocated to either a</t>
    </r>
    <r>
      <rPr>
        <b/>
        <sz val="12"/>
        <color theme="1"/>
        <rFont val="Calibri"/>
        <family val="2"/>
        <scheme val="minor"/>
      </rPr>
      <t xml:space="preserve"> video-recorded standard lecture or a Virtual Patient-based training</t>
    </r>
    <r>
      <rPr>
        <sz val="12"/>
        <color theme="1"/>
        <rFont val="Calibri"/>
        <family val="2"/>
        <scheme val="minor"/>
      </rPr>
      <t xml:space="preserve"> session where they interactively assessed a clinical case por-traying a motorcycle accident. The knowledge retention was assessed by a test immediately following the educational intervention and repeated after a minimum of 2 months. Both tests consisted of 12 multiple-choice questions. Four of the 12 questions had multiple correct answers.
No significant differences in short-term and long-term knowledge retention were observed between the two teaching methods. The Virtual Patient group reported higher learning experience levels in engagement, stimulation, general perception, and expectations.
The VP teaching format was based on the same trauma case. Participants were instructed to act as the doctor assessing the patient at an emergency unit. First, they had the chance to ask the VP medical-history questions with different degrees of relevance for the case. After taking the history, the participant was able to move on and examine the patient and order laboratory or imaging tests. After the examination, the participant was automatically introduced to the finite-el-ement method and biomechanical simulations, as described for the L group, but interactively. The subsequent section fo-cused on the mandatory assessment where the participant was asked to make a diagnosis, report to a senior doctor using the situational briefing tool SBAR (Situation Background As-sessment Recommendation) for communication, and then discuss advantages and disadvantages regarding possible treatments. The whole session ended with summative feed-back based on all of the participant’s actions and decisions during the whole VP interaction. On average, the session was completed in 45 minutes.</t>
    </r>
  </si>
  <si>
    <t xml:space="preserve">A total of 48 trainees attended the program, including firefighters, police officers, ambulance and
taxi drivers, hospital staff, nursing staff, and emergency medical technicians (EMTs). Two-days training program.
The curriculum spanned 10 essential topics: airway management, hemorrhage control, fracture stabilization, cervical spine immobilization, chest injury, IV line placement, extrication, scene management, triage, and communication.
These topics were taught in accordance with the following educational model: 15-20 min interactive didactic sessions consisting of self-directed learning videos, followed by 30-40 min skill sessions featuring high-fidelity simulation, and finally a 15-20 min video-assisted debriefing period, all via native language instruction.
All the 10 essential topics were significantly better after the training program. A pre-test and a post-test was performed to assess the impact of the training. </t>
  </si>
  <si>
    <t>PSYCOLOGICAL TRAUMA</t>
  </si>
  <si>
    <t>Short paper focused on what needs to be included in trauma education as ATLS does not cover all the  aspects to consider in trauma training. 
Firstly we need to recognise that immediately life-threatening time-critical trauma is by and large uncommon. On that basis those being called upon to assess and treat such patients must have the opportunity to demonstrate their competency in a simulated environment before being expected to perform satisfactorily in the real world.
Secondly, there needs to be business arrangements and funding models that allow clinicians and simulation experts to continue to develop immersive simulation models and environments. These
allow teamwork, assessment skills, and technical skills to be developed, refined and assessed in the safety of a simulation centre where direct observation, debrief and practice can lead to competent performance.
Finally, there needs to be acceptance by the trauma community.
IT IS ONLY A SHORT SUMMARY WITH NO DETAILS ON A SPECIFIC TRAUMA TRAINING</t>
  </si>
  <si>
    <t>While simulation education is being promoted as a change agent in the health care system, we must be cognizant of the uneven distribution of simulationbased education. Telesimulation could provide simulation education and instructor training with less time and resources than in-person simulation and thus increase access to simulation education systemwide.
The objective of this article is to describe an approach to telesimulation, specifically when the instructor is remote from the learners but can control the mannequin outputs. To our knowledge, this use of simulation and telecommunication technology has not been described in the literature to date. 
Telesimulation effectively decreased training time by 2 hours, reduced staffing costs, and reaching staff that had previously not been able to attend. There are some limitations as for example, a simulation case with multiple actors may not leverage the benefits of telesimulation as the actors may need to travel to the learner site for their roles.</t>
  </si>
  <si>
    <t>not specifically, telesimulation in any medical field</t>
  </si>
  <si>
    <t>The objective of this study is to determine how postgraduate year 3 (PGY-3) general surgery residents with previous crisis training perform compared to untrained residents with the same experience level and whether teaching these skills lead to durable results.
Participants were randomly divided into teams of 3 trainees at the same PGY level. Teams then participated in 3, 15-minute, standardized general operative crisis scenarios, with each participant having one opportunity to lead and have their skills evaluated. The 3 scenario types consisted of a non–trauma ward crisis, a blunt trauma, and a penetrating trauma. 
On each of the training days, each scenario was paired with 30 minutes of focused video feedback on
scenario-specific learning objectives highlighting team crisis nontechnical skills. Each debriefer had been formally trained in simulation debriefing techniques. The debriefers spent approximately 5–10 minutes ensuring that the basic medical aspects (diagnosis, treatment) were covered before  debriefing nontechnical skills. For each training day, residents received a total of 90 minutes of video debriefing time.
To aid in standardizing nontechnical skill debriefings, the Ottawa Global Rating Scale (OGRS) categories were utilized: leadership skills, problam solving skills, situational awareness skills, resource utilization skills and communication skills. 
The most important insight is that meaningful nontechnical skills are not likely to naturally develop in a spontaneous fashion during junior residency and that specific nontechnical skills training improves objective performance during simulated general operative crises over the previous year and compared to untrained historical controls.</t>
  </si>
  <si>
    <r>
      <t xml:space="preserve">We designed a one-day, boot camp curriculum for interns of various specialties with the purpose of improving communication and teamwork skills for effective management of acute trauma patients. The curriculum consisted of a one-day, 12h experience including: trauma simulations, lectures, discussions of video demonstrations and skill development workstations. 
Knowledge assessment: confidence surveys, cognitive questionnaires and a evaluation tool of teamwork and leadership skills. 
Fifteen interns entered the boot camp with an overall confidence score of 3.2 (1-5 scale) in the management of trauma cases. At the culmination of the study, there was a significant increase in the overall confidence level of interns in role delegation, leadership, Crisis Resource Management (CRM) principles, and in the performance of primary and secondary surveys. No significant changes were seen in determining and effectively using the Glasgow Coma Scale, Orthopedic splinting/reduction skills, and effective use of closed-loop communication.
Pre and post-questionnaires consisted of 15 questions. </t>
    </r>
    <r>
      <rPr>
        <b/>
        <sz val="12"/>
        <color rgb="FFFF0000"/>
        <rFont val="Calibri (Cuerpo)"/>
      </rPr>
      <t xml:space="preserve">IMPORTANT, THE QUESTIONS ARE EXPLICITELY INCLUDED IN THE ARTICLE!!! </t>
    </r>
    <r>
      <rPr>
        <sz val="12"/>
        <color theme="1"/>
        <rFont val="Calibri (Cuerpo)"/>
      </rPr>
      <t>Pre-boot camp: confidence score was of 3.2 (up to 5); post-boot camp this increased to 3.9</t>
    </r>
  </si>
  <si>
    <t>WOS Search</t>
  </si>
  <si>
    <t>Publications</t>
  </si>
  <si>
    <t>Repetidas</t>
  </si>
  <si>
    <t>TOTAL</t>
  </si>
  <si>
    <t xml:space="preserve">Eliminamos </t>
  </si>
  <si>
    <t>Pediatric</t>
  </si>
  <si>
    <t>Child</t>
  </si>
  <si>
    <t>War</t>
  </si>
  <si>
    <t>PTSD</t>
  </si>
  <si>
    <t>Adolescents</t>
  </si>
  <si>
    <t>Militar</t>
  </si>
  <si>
    <t>Robotic</t>
  </si>
  <si>
    <t>Stress</t>
  </si>
  <si>
    <t>Alcohol</t>
  </si>
  <si>
    <t>Drugs</t>
  </si>
  <si>
    <t>Surgical</t>
  </si>
  <si>
    <t>Anesthesia</t>
  </si>
  <si>
    <t>Cadavers</t>
  </si>
  <si>
    <t>Surgeon</t>
  </si>
  <si>
    <t>Obstetrics</t>
  </si>
  <si>
    <t>Vaginal</t>
  </si>
  <si>
    <t>Perinatal</t>
  </si>
  <si>
    <t>Teenagers</t>
  </si>
  <si>
    <t>Neuro</t>
  </si>
  <si>
    <t>Neuron</t>
  </si>
  <si>
    <t>Ultrasound</t>
  </si>
  <si>
    <t>Vision, ocular, oftalmological</t>
  </si>
  <si>
    <t>Cancer</t>
  </si>
  <si>
    <t>neural</t>
  </si>
  <si>
    <t>teamwork</t>
  </si>
  <si>
    <t>orthpaedics</t>
  </si>
  <si>
    <t>bettlefield</t>
  </si>
  <si>
    <t>skull</t>
  </si>
  <si>
    <t>cranial</t>
  </si>
  <si>
    <t>implant</t>
  </si>
  <si>
    <t>coach</t>
  </si>
  <si>
    <t>psycho</t>
  </si>
  <si>
    <t>geriatric</t>
  </si>
  <si>
    <t>drive, driving</t>
  </si>
  <si>
    <t>team</t>
  </si>
  <si>
    <t>Anteriores a 2010</t>
  </si>
  <si>
    <t>Títulos que no encajan</t>
  </si>
  <si>
    <t>Centrado en nurses</t>
  </si>
  <si>
    <t>Centrado en mass casualty</t>
  </si>
  <si>
    <t>Centrados triage</t>
  </si>
  <si>
    <t>ARTICLE ONLY FOUND IN GERMAN</t>
  </si>
  <si>
    <r>
      <t>Training modalities in trauma continues to rapidly multiply. Simulation extends from cimple trauma scenario discussion to advanced virtual reality experiences. The choice of simulation is largely dependent upon the desired outcome, which is broadly divided into either</t>
    </r>
    <r>
      <rPr>
        <b/>
        <sz val="14"/>
        <color theme="1"/>
        <rFont val="Calibri (Cuerpo)"/>
      </rPr>
      <t xml:space="preserve"> task-oriented or non-technical skill acquisition. </t>
    </r>
    <r>
      <rPr>
        <sz val="12"/>
        <color theme="1"/>
        <rFont val="Calibri"/>
        <family val="2"/>
        <scheme val="minor"/>
      </rPr>
      <t xml:space="preserve">
From low-fidelity trainers, such as tube thoracostomy mannequins, to highfidelity simulators with immediate and realistic feedback, to virtual reality constructs that provide an immersive experience, there are a wide range of available simulation methodologies directed at improving trauma care and
reducing errors at every stage of the process.
</t>
    </r>
    <r>
      <rPr>
        <b/>
        <sz val="12"/>
        <color theme="1"/>
        <rFont val="Calibri"/>
        <family val="2"/>
        <scheme val="minor"/>
      </rPr>
      <t>STANDARDIZED PATIENTS</t>
    </r>
    <r>
      <rPr>
        <sz val="12"/>
        <color theme="1"/>
        <rFont val="Calibri"/>
        <family val="2"/>
        <scheme val="minor"/>
      </rPr>
      <t xml:space="preserve">
Non-technical skill training is an area of simulation particularly suited to standardized patient  encounters. The American College of Surgeons utilizes standardized patients, complete with simulated blood, open fractures and other injuries, during ATLS® courses. After dressing in appropriate garb and moulage, they are given scripts related to their assigned traumatic event, and answer questions of the participants accordingly.
</t>
    </r>
    <r>
      <rPr>
        <b/>
        <sz val="12"/>
        <color theme="1"/>
        <rFont val="Calibri"/>
        <family val="2"/>
        <scheme val="minor"/>
      </rPr>
      <t>LOW FIDELITY VS HIGH FIDELITY</t>
    </r>
    <r>
      <rPr>
        <sz val="12"/>
        <color theme="1"/>
        <rFont val="Calibri"/>
        <family val="2"/>
        <scheme val="minor"/>
      </rPr>
      <t xml:space="preserve">
Trauma training typically employs both low- and high-fidelity training modalities. In addition to
technical skill training, high-fidelity simulators offer the benefit of teaching non-technical skills and team training.
</t>
    </r>
    <r>
      <rPr>
        <b/>
        <sz val="12"/>
        <color theme="1"/>
        <rFont val="Calibri"/>
        <family val="2"/>
        <scheme val="minor"/>
      </rPr>
      <t xml:space="preserve">VIRTUAL REALITY
</t>
    </r>
    <r>
      <rPr>
        <sz val="12"/>
        <color theme="1"/>
        <rFont val="Calibri"/>
        <family val="2"/>
        <scheme val="minor"/>
      </rPr>
      <t xml:space="preserve">Virtual reality simulations have the ability to connect multiple users at multiple locations to increase
availability to centers with limited resources.
</t>
    </r>
    <r>
      <rPr>
        <b/>
        <sz val="12"/>
        <color theme="1"/>
        <rFont val="Calibri"/>
        <family val="2"/>
        <scheme val="minor"/>
      </rPr>
      <t xml:space="preserve">CADAVER TRAINING
</t>
    </r>
    <r>
      <rPr>
        <sz val="12"/>
        <color theme="1"/>
        <rFont val="Calibri"/>
        <family val="2"/>
        <scheme val="minor"/>
      </rPr>
      <t xml:space="preserve">Cadavers have long-been employed to teach anatomy and surgical technique and continue to be an excellent training tool.
</t>
    </r>
    <r>
      <rPr>
        <b/>
        <sz val="12"/>
        <color theme="1"/>
        <rFont val="Calibri"/>
        <family val="2"/>
        <scheme val="minor"/>
      </rPr>
      <t xml:space="preserve">TRAUMA NON-TECHNICAL SKILLS
</t>
    </r>
    <r>
      <rPr>
        <sz val="12"/>
        <color theme="1"/>
        <rFont val="Calibri"/>
        <family val="2"/>
        <scheme val="minor"/>
      </rPr>
      <t xml:space="preserve">While many of the above methods are designed with specific tasks in mind, non-technical skills training in trauma is of equivalent importance. Most errors in the care of trauma patients are not technically-oriented, and arise from improper triage, indecisive team leadership and failed recognition of evolving life-threatening injury. Team simulations frequently utilize high-fidelity mannequins to present physiologic and traumatic maladies to a multidisciplinary team. Virtual
reality and live tissue simulations provide increased levels of engagement and are increasingly utilized for trauma team and leadership training.
</t>
    </r>
    <r>
      <rPr>
        <b/>
        <sz val="12"/>
        <color theme="1"/>
        <rFont val="Calibri"/>
        <family val="2"/>
        <scheme val="minor"/>
      </rPr>
      <t xml:space="preserve">EMERGENCY MEDICAL SERVICES SIMULATION
</t>
    </r>
    <r>
      <rPr>
        <sz val="12"/>
        <color theme="1"/>
        <rFont val="Calibri"/>
        <family val="2"/>
        <scheme val="minor"/>
      </rPr>
      <t>Preparing emergency medical services (EMS) for large-scale events requires extensive planning and
preparation to adequately manage patients during surge scenarios. To do this, simulated exercises have become more commonplace. Often involving multiple facets of emergency care, such as police, fire, ambulance, and hospital personnel, these sometimes massive simulation events have proven vital to the success of municipalities in addressing rare, high-acuity events like mass shootings.</t>
    </r>
  </si>
  <si>
    <t>The goal of this study was to investigate non-technical skills in a simulated trauma setting both before and after a debriefing session in order to better understand areas to target for the development of educational interventions.
The monthly simulations take place in a trauma resuscitation mock-up room, equipped with a high-fidelity manikin (Laerdal, SimMan 3G), advanced audio-visual streaming, capture and playback systems, and direct observation one-way mirrors. Thirteen teams of five trauma trainees participated in the simulations.
Eight standardized trauma scenarios have been developed.
Interprofessional team simulation in trauma resuscitation scenarios followed by debriefing differently impacted individual non-technical skills domains. The only domain to significantly improve was Communication and Interaction. The debriefings were primarily focused on directive performance feedback. Additional facilitation strategies may target other non-technical skills in different ways. Two standardized trauma simulations are performed at each hour long session, with a debriefing between scenarios. This debriefing session is held within a separate, private room to allow learners a chance to decompress and remove themselves from the scenario. After the debriefing, the team has a chance to practice the areas they identified as needing improvement in a second simulated scenario. Following the second scenario, a subsequent short debriefing is facilitated in order to reflect on any changes in performance.</t>
  </si>
  <si>
    <t>It is focused on human trafficking</t>
  </si>
  <si>
    <t>It is focused on placing temporary vascular shunts (derivación vascular temporal)</t>
  </si>
  <si>
    <t>Our aim was to determine whether residents that have trauma centers integrated into their
residency have a different educational benefit from the ATOM course when compared with residents that do not have trauma centers integrated into their residency. Our hypothesis was that residents that have trauma centers integrated into their residencies would experience less benefit from the ATOM course than their counterparts without a trauma center as part of their residency.
Operative evaluations showed no significant difference between trauma and nontrauma residents by PGY, with slightly higher scores for the nontrauma PGY 5s. PGY3s, PGY4s and PGY5s participate in the study. 
The ATOM course includes standardized pre- and postcourse evaluations. These evaluations encompass three areas: knowledge, self-efficacy, and operative performance. The knowledge test is 25 multiple choice questions based on course content. The self-efficacy questionnaire asks participants to rate their self-confidence on a five-point scale regarding 25 surgical tasks, such as, ability to perform a two-layer closure for gastrotomies or a splenectomy for splenic laceration. Both the knowledge and self-efficacy test are identical pre- and postcourse and are completed by the  participant. The operative evaluation, which is completed by the instructor, assesses the participant
on a three-point scale. Scoring is based on how independently the participant is able to identify the
injury, formulate a treatment plan, and repair the injury with three being the highest level of independence.</t>
  </si>
  <si>
    <t xml:space="preserve">Focus on anesthesiologists. </t>
  </si>
  <si>
    <t>Human factors and crisis resource management. Improving patient safety.</t>
  </si>
  <si>
    <t>Pending article from ReserachGate; not found elsewhere.</t>
  </si>
  <si>
    <t>Focused on Combat Trauma Training</t>
  </si>
  <si>
    <t xml:space="preserve">Focused on trauma in pregnancy as it is considered a critical challenge. </t>
  </si>
  <si>
    <t xml:space="preserve">Focused on padiatric emergency department to early identify important traumatic brain injuries (TBI). </t>
  </si>
  <si>
    <t>not specifically; internal medicine including traumatic events but it is not the focus</t>
  </si>
  <si>
    <t xml:space="preserve">Our study results indicate that utilizing SPs was more effective and better mimicked realistic patient care than the use of a mannequin in acutely decompensating patient scenarios for IM (internal medicine) residents. Our study only focused on level 1 of the Kirkpatrick model of training (reaction) and only looked at immediate retention of information, not long-term learning and retention.
Four scenarios were tested: CCB overdose, severe sepsis, stataus asthmaticus, acute bacterial meningitis. Pre-test and post-test scores were gathered and a realism score as well. </t>
  </si>
  <si>
    <r>
      <t xml:space="preserve">Limited evidence is available on simulation training of prehospital care providers, specifically the use of tourniquets and needle decompression. This study focused on whether the confidence level of prehospital personnel performing these skills improved through simulation training. 
Prehospital personnel from Alachua County Fire Rescue were enrolled in the study over a 2- to 3-week period based on their availability. </t>
    </r>
    <r>
      <rPr>
        <b/>
        <sz val="12"/>
        <color theme="1"/>
        <rFont val="Calibri"/>
        <family val="2"/>
        <scheme val="minor"/>
      </rPr>
      <t>Two scenarios</t>
    </r>
    <r>
      <rPr>
        <sz val="12"/>
        <color theme="1"/>
        <rFont val="Calibri"/>
        <family val="2"/>
        <scheme val="minor"/>
      </rPr>
      <t xml:space="preserve"> were presented to them: a motorcycle crash resulting in a leg amputation requiring a tourniquet and an intoxicated patient with a stab wound, who experienced tension pneumothorax requiring needle decompression. Crews were asked to rate their </t>
    </r>
    <r>
      <rPr>
        <b/>
        <sz val="12"/>
        <color theme="1"/>
        <rFont val="Calibri"/>
        <family val="2"/>
        <scheme val="minor"/>
      </rPr>
      <t>confidence levels before and after exposure to the scenarios.</t>
    </r>
    <r>
      <rPr>
        <sz val="12"/>
        <color theme="1"/>
        <rFont val="Calibri"/>
        <family val="2"/>
        <scheme val="minor"/>
      </rPr>
      <t xml:space="preserve"> Timing of the simulation interventions was compared with actual scene times to determine applicability of simulation in measuring the efficiency of prehospital personnel. 
Results were collected from129 participants. Pre- and postexposure scores increased by a mean of 1.15 (SD 1.32; 95% CI, 0.88–1.42; 𝑃 &lt; 0.001). Comparison of actual scene times with simulated scene times yielded a 1.39-fold difference (95% CI, 1.25–1.55) for Scenario 1 and 1.59 times longer for Scenario 2 (95% CI, 1.43–1.77). Conclusion. Simulation training improved prehospital care providers’ confidence level in performing two life-saving procedures.
In trauma simulation articles, specific assessment skills, triage management and procedural performance are the topics often discussed. Specific procedural skills such as tourniquet application and chest decompression have received little attention in the medical literature. 
The purpose of this study is to evaluate if the confidence of prehospital personnel can be improved through simulation training. This study also compared simulated scenario times with actual trauma scene times with regard to the </t>
    </r>
    <r>
      <rPr>
        <b/>
        <sz val="12"/>
        <color theme="1"/>
        <rFont val="Calibri"/>
        <family val="2"/>
        <scheme val="minor"/>
      </rPr>
      <t>timing of patient evaluation,</t>
    </r>
    <r>
      <rPr>
        <sz val="12"/>
        <color theme="1"/>
        <rFont val="Calibri"/>
        <family val="2"/>
        <scheme val="minor"/>
      </rPr>
      <t xml:space="preserve"> </t>
    </r>
    <r>
      <rPr>
        <b/>
        <sz val="12"/>
        <color theme="1"/>
        <rFont val="Calibri"/>
        <family val="2"/>
        <scheme val="minor"/>
      </rPr>
      <t>interventions</t>
    </r>
    <r>
      <rPr>
        <sz val="12"/>
        <color theme="1"/>
        <rFont val="Calibri"/>
        <family val="2"/>
        <scheme val="minor"/>
      </rPr>
      <t xml:space="preserve">, and </t>
    </r>
    <r>
      <rPr>
        <b/>
        <sz val="12"/>
        <color theme="1"/>
        <rFont val="Calibri"/>
        <family val="2"/>
        <scheme val="minor"/>
      </rPr>
      <t>transport</t>
    </r>
    <r>
      <rPr>
        <sz val="12"/>
        <color theme="1"/>
        <rFont val="Calibri"/>
        <family val="2"/>
        <scheme val="minor"/>
      </rPr>
      <t>, which are key features that EMS medical directors control as part of their assessment of the provision of care to critical trauma patients.</t>
    </r>
  </si>
  <si>
    <r>
      <t xml:space="preserve">The study was conducted at a military nursing simulation center configured to represent a typical facility located in Iraq or Afghanistan. 
A CD-ROM was developed for this study that allowed participants to view PowerPoint slides that covered the pathophysiology of three types of combat injuries: cardiac tamponade, pneumothorax, and hypovolemic shock, the same three scenarios developed for the HPS. After each set of slides
addressing the pathophysiology of the combat injuries, the CD-ROM presented a patient portrayed by an actor who was mouloged to demonstrate the various signs and symptoms. Each scenario took 30 minutes to complete for a total of 90 minutes.
The least significant difference post hoc indicated that the HPS group had significantly higher scores than the CD-ROM and control groups relative to performance (p &lt; 0.001). There was no significant difference between the CD-ROM group and control group.
</t>
    </r>
    <r>
      <rPr>
        <b/>
        <sz val="12"/>
        <color theme="1"/>
        <rFont val="Calibri"/>
        <family val="2"/>
        <scheme val="minor"/>
      </rPr>
      <t>FOCUSED ON MILITARY NURSES TRAINING</t>
    </r>
  </si>
  <si>
    <t>Simulation research has demonstrated students can improve scores on standardized tests as well as improve their confidence. Research is still needed to address the long-term impact of patient simulation training. Although simulations have gained popularity, researchers caution that they should always be used as part of clinical education and not as a substitute.
This is a literature review article with 29 arcticles referred in this research:
- high fidelity simulations
- training programs using patient simulations
- specific skill training using simulations
- incorportaing simulations into standardized medical exams
- using simulation to distinguish level of experience
- simulation to build teamwork skills</t>
  </si>
  <si>
    <t>not specifically, simulation in general in medical education</t>
  </si>
  <si>
    <r>
      <t xml:space="preserve">All students completed the same VP case: a carcrash victim with multiple injuries, seen in the hospital’s traumacenter. The VPwasdevelopedbyatraumasurgeon(D.F.)anda PhD ineducation(N.P.)ontheDecisionSim™ platform (KynectivInc.,Chadsford,PA).Thecasemanagement required thestudents’ knowledge andabilitytoapplythat knowledgeinaclinicalsettingwiththefocusbeinginitial managementandresuscitation,accordingtotheATLS principlesofthePrimarySurveyincludingC-spinecontrol, airway,breathing,circulation,disability,andexposure.In addition, it required the students to recognize and treat respiratorydistressduetoapneumothorax. These elements needed to be addressed and completed in the appropriate temporalsequence.
The case has extensive branching functionality and therefore multiple outcomes are possible, many of which are determined by the clinical reasoning of the learners. 
Two experts developed an expert summary statement which served as the gold standard response_
- list an interpret critical clinical findings derived from an examination following the ATLS algorithm
- construct an effective initial management plan to initiate resuscitation
- list appropriate procedure
- interpret investigations useful in the management of the injury
Based on this expert summary statement, the procedural and semantic rubric scoring tool was created to evaluate clinical reasoning. </t>
    </r>
    <r>
      <rPr>
        <b/>
        <sz val="12"/>
        <color theme="1"/>
        <rFont val="Calibri"/>
        <family val="2"/>
        <scheme val="minor"/>
      </rPr>
      <t xml:space="preserve">SEE FIGURES 1 AND 2 IN WHICH THE QUESTION FOR THE SCORING TOOL ARE EXPLICITELY INCLUDED. 
</t>
    </r>
    <r>
      <rPr>
        <sz val="12"/>
        <color theme="1"/>
        <rFont val="Calibri"/>
        <family val="2"/>
        <scheme val="minor"/>
      </rPr>
      <t>25 STUDENTS SENIOR GROUP AND 57 STUDENTS JUNIOR GROUP.
Seniors did better in the procedural isseus but no for the semantic issues</t>
    </r>
  </si>
  <si>
    <t>JOURNAL OF SURGICAL EDUCATION
Q2</t>
  </si>
  <si>
    <t>ARTICLE ONLY FOUND IN FRENCH</t>
  </si>
  <si>
    <r>
      <t xml:space="preserve">A descriptive and analytical study before and after the training was conducted on 24 randomly selected undergraduate medical interns from Imam Reza Hospital in Mashhad, Iran. On the first day, we assessed interns' clinical knowledge and their practical skill performance in confronting simulated trauma patients. After 2 days of ATLS training, we performed the same study and evaluated their score again on the fourth day. The two findings, pre and post-ATLS periods, were compared through SPSS version 15.0 software. P values less than 0.05 were considered statistically significant.
Our findings showed that interns’ ability in all the three tasks improved after the training course. On the fourth day after training, there was a statistically significant increase in interns' clinical knowledge ofATLS procedures, the sequence of procedures and skill performance in trauma situations (P&lt;0.001, P=0.016 and P=0.01 respectively). </t>
    </r>
    <r>
      <rPr>
        <b/>
        <sz val="12"/>
        <color theme="1"/>
        <rFont val="Calibri"/>
        <family val="2"/>
        <scheme val="minor"/>
      </rPr>
      <t xml:space="preserve">There is a scoring system proposed. </t>
    </r>
  </si>
  <si>
    <r>
      <rPr>
        <b/>
        <sz val="12"/>
        <color theme="1"/>
        <rFont val="Calibri"/>
        <family val="2"/>
        <scheme val="minor"/>
      </rPr>
      <t xml:space="preserve">Focused on nurse training
</t>
    </r>
    <r>
      <rPr>
        <sz val="12"/>
        <color theme="1"/>
        <rFont val="Calibri"/>
        <family val="2"/>
        <scheme val="minor"/>
      </rPr>
      <t>Sixty-one nurses, working in an emergency ambulance service, performed simulated trauma care on four different occasions and afterward rated three statements on a 5- point Likert scale. A descriptive and inferential analysis were conducted.</t>
    </r>
  </si>
  <si>
    <r>
      <rPr>
        <b/>
        <sz val="12"/>
        <color theme="1"/>
        <rFont val="Calibri"/>
        <family val="2"/>
        <scheme val="minor"/>
      </rPr>
      <t>Focused on nurse training</t>
    </r>
    <r>
      <rPr>
        <sz val="12"/>
        <color theme="1"/>
        <rFont val="Calibri"/>
        <family val="2"/>
        <scheme val="minor"/>
      </rPr>
      <t xml:space="preserve">
Simulation provides the opportunity to learn how to care for patients in complex situations, such as when patients are exposed to high-energy trauma such as motor vehicle accidents.
The aim of the study was to describe </t>
    </r>
    <r>
      <rPr>
        <b/>
        <sz val="12"/>
        <color theme="1"/>
        <rFont val="Calibri"/>
        <family val="2"/>
        <scheme val="minor"/>
      </rPr>
      <t>nurses’ perceptions</t>
    </r>
    <r>
      <rPr>
        <sz val="12"/>
        <color theme="1"/>
        <rFont val="Calibri"/>
        <family val="2"/>
        <scheme val="minor"/>
      </rPr>
      <t xml:space="preserve"> of high-energy trauma care through simulation in prehospital emergency care. The study had a qualitative design. Interviews were conducted with 20 nurses after performing a simulated training series. Data were analyzed using a phenomenographic method. The result indicates that simulation establishes, corrects, and confirms knowledge and skills related to trauma care in prehosp ital emergency settings. Trauma knowledge is readily available in memory and can be quickly retrieved in a future trauma situation.</t>
    </r>
  </si>
  <si>
    <t>A major trauma course based on posters, audio-guides and simulation improves the management skills of medical students: evaluation via medicatl simulator</t>
  </si>
  <si>
    <r>
      <t xml:space="preserve">Medical competence requires the acquisition of theoretical knowledge and technical skills.
Severe trauma management teaching is poorly developed during internship. Nevertheless, the basics of major trauma management should be acquired by every future physician. For this reason, the major trauma course (MTC), an educational course in major traumatology, has been developed for medical students. Our objective was to evaluate, via a high fidelity medical simulator, the impact of the MTC on medical student skills concerning major trauma management.
The MTC contains 3 teaching modalities: posters with associated audio-guides, a procedural
workshop on airway management and a teaching session using a medical simulator. Skills evaluation
was performed 1 month before (step 1) and 1 month after (step 3) the MTC (step 2). Nineteen students were individually evaluated on 2 different major trauma scenarios. The primary endpoint was the difference between steps 1 and 3, in a combined score evaluating: admission, equipment, monitoring and safety (skill set 1) and systematic clinical examinations (skill set 2).
</t>
    </r>
    <r>
      <rPr>
        <b/>
        <sz val="12"/>
        <color theme="1"/>
        <rFont val="Calibri"/>
        <family val="2"/>
        <scheme val="minor"/>
      </rPr>
      <t>After the course, the combined primary outcome score improved by 47% (P &lt; 0.01).</t>
    </r>
    <r>
      <rPr>
        <sz val="12"/>
        <color theme="1"/>
        <rFont val="Calibri"/>
        <family val="2"/>
        <scheme val="minor"/>
      </rPr>
      <t xml:space="preserve"> Scenario
choice or the order of use had no significant influence on the skill set evaluations.
Scenario A was the case of a patient presenting an extradural haematoma with cerebral herniation following a bike accident (Additional file 2). Scenario B was a case of haemorrhagic shock associated with a compound fracture of the femur due to an accident with a lawn mower in the patient’s
garden (Additional file 3). Three evaluators completed the skill evaluation forms (Additional file 4).
- skill set 1: admission, equipment and patient safety involving the following tasks: handovers, patient undressing, monitoring of vital signs, single or double venous access, oxygenation, use of a cervical collar;
- skill set 2: systematic clinical examination including assessing organ failure (airway, circulation, Glasgow coma scale) and screening for major injuries;
- skill set 3: principal injury diagnosis and therapy.</t>
    </r>
  </si>
  <si>
    <r>
      <rPr>
        <b/>
        <sz val="12"/>
        <color theme="1"/>
        <rFont val="Calibri"/>
        <family val="2"/>
        <scheme val="minor"/>
      </rPr>
      <t xml:space="preserve">It is a summary article in which different students are studied. All of them had either low or very low level of evidence which means that the confidence in the effect is limited specially due to bias, inconsistency and/or imprecision. ARTICLE OF TRAUMA DUPLICATED. 
</t>
    </r>
    <r>
      <rPr>
        <sz val="12"/>
        <color theme="1"/>
        <rFont val="Calibri"/>
        <family val="2"/>
        <scheme val="minor"/>
      </rPr>
      <t xml:space="preserve">
This review focused on interactive training, that is any form of educational session that has an interactive component. Interactive training courses can have many different formats: courses could have, for example, pre-course e-learning components, casestudy discussions, or skills-drills. There must be a component of attendees interacting with the course/faculty and not only passively absorbing information:
• exchange-based learning (e.g. debates, seminar or workshop discussions, case and problem-solving study sessions);
• observation-based learning (e.g. work shadowing, joint client/ patient consultations);
• action-based learning (e.g. collaborative enquiry, problembased learning, joint research, quality improvement initiatives, practice or community development projects); and
• simulation-based learning (e.g. role-play, experiential group work, the use of clinical skills centres, and integrating drama groups within teaching sessions).
23 PAGES OF ARTICLE!!!!!! The article whic correspond to trauma has been already analyzed (entrey 12)</t>
    </r>
  </si>
  <si>
    <r>
      <rPr>
        <b/>
        <sz val="12"/>
        <color theme="1"/>
        <rFont val="Calibri"/>
        <family val="2"/>
        <scheme val="minor"/>
      </rPr>
      <t>FOCUSED ON NURSE TRAINING</t>
    </r>
    <r>
      <rPr>
        <sz val="12"/>
        <color theme="1"/>
        <rFont val="Calibri"/>
        <family val="2"/>
        <scheme val="minor"/>
      </rPr>
      <t xml:space="preserve">
This study examined the effect of participating in trauma simulation on trauma care skills of nurses in
prehospital emergency care.</t>
    </r>
  </si>
  <si>
    <r>
      <t xml:space="preserve">To evaluate the level of trauma knowledge in each group, all participants did a test on the first day of their emergency medicine rotation. The test was designed based on the multiple choice question (MCQ) format, consisted of 25 questions evaluating the basic knowledge of participants on the primary survey section of ATLS and initial assessment and management of patients with multiple traumas.
Two individual educational packages were desgined and the trauma station consisted of standradr station addessing and evaluating the basic knowledge and skills in the fields of the initial assessment and management of trauma patientes focusing on primary survey. 60 participants in two groups.
</t>
    </r>
    <r>
      <rPr>
        <b/>
        <sz val="12"/>
        <color theme="1"/>
        <rFont val="Calibri"/>
        <family val="2"/>
        <scheme val="minor"/>
      </rPr>
      <t>Control group:</t>
    </r>
    <r>
      <rPr>
        <sz val="12"/>
        <color theme="1"/>
        <rFont val="Calibri"/>
        <family val="2"/>
        <scheme val="minor"/>
      </rPr>
      <t xml:space="preserve"> 50 min lecture (35 ppt + 15 case simulation scenario) and 50 min hands on. 
</t>
    </r>
    <r>
      <rPr>
        <b/>
        <sz val="12"/>
        <color theme="1"/>
        <rFont val="Calibri"/>
        <family val="2"/>
        <scheme val="minor"/>
      </rPr>
      <t>Experimental group:</t>
    </r>
    <r>
      <rPr>
        <sz val="12"/>
        <color theme="1"/>
        <rFont val="Calibri"/>
        <family val="2"/>
        <scheme val="minor"/>
      </rPr>
      <t xml:space="preserve"> DVD 35 min lecture and 15 min simulated multiple trauma case scenarios. Then a workshop day happens in which they practiced basic primary survey's skills on a mannequin for 50 min. 
The overall outcome of this study was that the experimental group (distance learning) performed better in the trauma station of the OSCE compared to the control group.</t>
    </r>
  </si>
  <si>
    <r>
      <rPr>
        <b/>
        <sz val="12"/>
        <color theme="1"/>
        <rFont val="Calibri"/>
        <family val="2"/>
        <scheme val="minor"/>
      </rPr>
      <t>Military healthcare personnel,</t>
    </r>
    <r>
      <rPr>
        <sz val="12"/>
        <color theme="1"/>
        <rFont val="Calibri"/>
        <family val="2"/>
        <scheme val="minor"/>
      </rPr>
      <t xml:space="preserve"> including nurse anesthetists, must have the knowledge and skills to care for the extensive, severe injuries incurred on the battlefield. No studies have compared the 2 teaching strategies of using the human patient simulator (HPS) and a CD-ROM in caring for combat injuries relative to critical thinking and performance using nurse anesthesia participants. </t>
    </r>
  </si>
  <si>
    <r>
      <t xml:space="preserve">This paper describes the development, implementation, and evaluation of that course.
This retrospective study evaluated learner satisfaction and knowledge gained during a fourth-year selective from March 2007 to 2009. The educational experience provided unique activities developed through an interprofessional approach. Student assessment included oral presentations, small-group discussions, and participation in activities. Students evaluated the quality of the experience using written narrative evaluations. Two independent, blinded raters analyzed student narratives using the constant comparative method associated with grounded theory.
</t>
    </r>
    <r>
      <rPr>
        <b/>
        <sz val="12"/>
        <color theme="1"/>
        <rFont val="Calibri"/>
        <family val="2"/>
        <scheme val="minor"/>
      </rPr>
      <t>Results:</t>
    </r>
    <r>
      <rPr>
        <sz val="12"/>
        <color theme="1"/>
        <rFont val="Calibri"/>
        <family val="2"/>
        <scheme val="minor"/>
      </rPr>
      <t xml:space="preserve"> Thirty-seven students completed the course and provided comments. Evaluations demonstrated high satisfaction. Five themes emerged as strengths and outcomes: (1) recognition of injury as preventable, (2) variety of interactive educational experiences, (3) understanding physician’s role in injury policy, (4) opportunity to see the system of injury care, (5) recognition of injury as a disease. Criticisms of the course related to problems with coordination.
- Instructional process: pre-course quiz and small-group discussion
- Experiential Learning activities: during 3 hours, students follow the path of the injured patient through the health care trauma system spending some tume with the different areas involved. 
- Individual independet study and written assignments: each student keeps a daily journal to document his/her personal ffelings, thoughts, and ideas. At the end of the course, each student prepares and delivers a 20 minute oral ppt.
- Assessment Methods: Students evaluate each learning activity at the end of the course by responding to the following 4 questions:
• What are the highlights of the course?
• What could be improved?
• Would you recommend this course to others?
• How did this course change your perspective of trauma and injury control?</t>
    </r>
  </si>
  <si>
    <r>
      <t xml:space="preserve">Upon completion, we created four IVR scenarios based on the highest mortality battlefield injuries: hemorrhage, tension pneumothorax, and airway obstruction. Our team developed trauma scenarios that, to our knowledge, are the only IVR trauma scenarios to run autonomously without instructor input. The program was developed with financial support from the Telemedicine and Advanced Technology Research Center (TATRC), through the primary vendor Exonicus, Inc, with support from Anatomy Next Inc, and Kitware, Inc.
The user is presented with an unstable trauma patient with a random injury. The physiology engine settings were selected to result in the patient’s death in 2-2.5 minutes if the player does not identify the injury and complete appropriate intervention. The player must keep the patient alive for a minimum of five minutes. Keeping the patient alive is the primary endpoint for the user. Additional factors, such as whether or not a complete assessment was performed, are tracked/graded, but do not affect the patient’s immediate survival. Standard trauma care actions are also available and tracked. Several individual cases, procedures, and environments were considered. A nurse and a doctor are included in the scenarios. 
A list of potential actions a player could make was developed (132) and each was tied to a specific outcome (injuty treatment, lab availability, medication administration). </t>
    </r>
    <r>
      <rPr>
        <b/>
        <sz val="12"/>
        <color theme="1"/>
        <rFont val="Calibri"/>
        <family val="2"/>
        <scheme val="minor"/>
      </rPr>
      <t xml:space="preserve">Each action was tied to a grade based on useful actions, neutral actions or harmful actions. </t>
    </r>
  </si>
  <si>
    <r>
      <t xml:space="preserve">FOCUSED ON EMERGENCY BLOOD PROTOCOL ONLY. 
</t>
    </r>
    <r>
      <rPr>
        <sz val="12"/>
        <color theme="1"/>
        <rFont val="Calibri"/>
        <family val="2"/>
        <scheme val="minor"/>
      </rPr>
      <t>We used a simulation program to evaluate a new protocol and workflow in the emergency blood transfusion process as well as provide additional trauma training. To determine if implementing a trauma simulation would help improve the self-reported understanding of the emergency blood transfusion process by both the ED and laboratory staff.</t>
    </r>
    <r>
      <rPr>
        <b/>
        <sz val="12"/>
        <color theme="1"/>
        <rFont val="Calibri"/>
        <family val="2"/>
        <scheme val="minor"/>
      </rPr>
      <t xml:space="preserve"> </t>
    </r>
    <r>
      <rPr>
        <sz val="12"/>
        <color theme="1"/>
        <rFont val="Calibri"/>
        <family val="2"/>
        <scheme val="minor"/>
      </rPr>
      <t>Simulation appears to be helpful to evaluate and implement a new ED protocol or workflow.</t>
    </r>
  </si>
  <si>
    <t xml:space="preserve">In this study, we implement monthly case-based simulation after initial training on a variety of bedside trauma procedures. The overall goas is to evaluate the effect of simulation on time to specific interventions. 
All rotating residents participated in an initial course on basic trauma procedures such as percutaneous sheath placement, tube thoracostomy and resuscitative thoracotomy followed by an end-of month simulation. 
Median time to most interventions improved over time but with more consistent improvement
after the implementation of formal simulation and procedural training in November 2018.
Median pre-training time for resuscitative thoracotomy was 14 minutes (IQR 8-32); post-training median time was 3 minutes. Median pre-training time to tube thoracostomy was 13 minutes; post-training time was 6 minutes. 
High-complexity, routine procedural training and trauma simulation are associated with decreased time to interventions within a short period of time.
Routine implementation of a training program emphasizing efficient, effective approaches to bedside procedures is necessary to train our residents in these high-acuity, low frequency situations. </t>
  </si>
  <si>
    <t xml:space="preserve">Linked to entry 182 which really explains the simulator; this is just a half-page summary doc with some highlights of the article explained in the entry 182. </t>
  </si>
  <si>
    <t xml:space="preserve">SPCIFIC ON CHINA AND ON THE COLLECTION OF INFORMATION ON THE EDUCATIONAL BAKCGROUNDS OF THE TRAUMA PROVIDERS AND TO EVALUATE THE CORRELATION BETWEEN THEIR BACKGROUND AND TRAUMA CARE KNOWLEDGE TO PROVIDE EMPIRICAL SUPPORT FOR TRAUMA CARE TRAINING. 
</t>
  </si>
  <si>
    <t>FOCUSED ON AVOINDING THE ANIMAL USE FOR TRAUMA SIMULATION
The industry-NGO collaboration successfully transformed the surgical skills laboratories of 22
international ATLS programs to replace animal use with nonanimal simulation models that are more anatomically realistic, cost less, and allow trainees to repeat surgical skills until proficiency</t>
  </si>
  <si>
    <t>It is a short article that focuses on the development of virtual patients in 2 phases using an open source software:
1. Phase 1: development of a series of single Virtual Patients.
2. Phase 2: development of mass casualty scenarios for multiple simultaneous emergency responders
Clinical decision trees to control Virtual Patients' responses were modelled using an editor based on an open source framework and subsequently compiled to a web player that was developed to maintain the state of multiple Virtual Patients in an open source and scalable architecture. A message broker was developed to communicate between the virtual world (flexibly Second Life or the open source equivalent, Opensim) and the web player (Figure 2).
Face and content validity testing is being carried out separately for each phase 2 vignette but it is clear that the technology could support multiple teams at different virtual sites exercising at the same time in a fully integrated exercise.</t>
  </si>
  <si>
    <t>FOCUS ON CLASSIFICATION OF KNOWLEDGE IN TRAUMA MANAGEMENT BY ECG ANALYSIS.
We hypothesize that ECG can be utilized for accurate classification of expertise. To the best of our knowledge, no work has been done on attempting to classify the level of expertise of healthcare practitioners utilizing ECG for training simulations.
In this paper, we create a novel framework for an adaptive simulation for training trauma responders, capable of dynamically adapting to the cognitive load and the level of expertise of the learner.
The ECG data were collected using a wearable device, along with quantitative self-reported values of cognitive load. Expertise levels were designated based on past training and education history. Next, collected ECG data was pre-processed and time and frequency domain features were extracted. We then developed a deep multitask neural network capable of accurately classifying high vs. low cognitive load as well as expert vs. novice participants simultaneously. A leave-one-subject-out (LOSO) validation was used to evaluate the effectiveness of our model on new participants.</t>
  </si>
  <si>
    <r>
      <rPr>
        <b/>
        <sz val="12"/>
        <color theme="1"/>
        <rFont val="Calibri"/>
        <family val="2"/>
        <scheme val="minor"/>
      </rPr>
      <t xml:space="preserve">The hypothesis was that the implementation of OSCE (Objective Structured Clinical Evaluations) would improve residents skills. </t>
    </r>
    <r>
      <rPr>
        <sz val="12"/>
        <color theme="1"/>
        <rFont val="Calibri"/>
        <family val="2"/>
        <scheme val="minor"/>
      </rPr>
      <t xml:space="preserve">
Simulations with standardized patients: 2 different training sessions (90 min and 30 min) 
We determined overal quiz, history taking, PE (physical examination) and communications scores for each PGY level and each calendar year. Webelievedthatthe OSCE  would not only allow us to differentiate between PG years, but we would also see gradual improvement as each resident progressed through the PG years. Our thought was that  if we instituted a new tool of education, which was the OSCE, we would see improved results. Surprisingly though, when having a look at the literature, there are few studies that evaluate or show improved clinical care when new tools of
education are introduced into teaching programs.
However, we did see an overall improvement in ability to interact and communicate with patients and ask appropriate questions. Although we do not have objective evidence that we made an impact on PE skills, we believe the OSCE improves their education. This evaluation method evaluates competencies of the person, the knowledge and the performance. </t>
    </r>
  </si>
  <si>
    <t>Article not available, requested to ResearchGate</t>
  </si>
  <si>
    <t xml:space="preserve">Twice monthly skills training for the following procedures: placing a pelvic binder, tourniquet, intraosseous access, REBOA (resuscitative endovascular balloon occlusion of the aorta), ED thoracotomy, femoral venous line, chest tube, ankle brachial indices and cricothyroidotomy. 
Pretest, at the beginning of the month; post-test at the end of the month. After simulation training, the residents identified a significant improvement in their confidence in placing a pelvic binder, tourniquet, intraosseous access, and resuscitative endovascular balloon occlusion of the aorta (REBOA) (p&lt;0.05 for all).
Short summary in which no description of the skills training procedures is provided. </t>
  </si>
  <si>
    <t>The nature of learning from simulation: Now I know it, now I'll do it, I'll work on that</t>
  </si>
  <si>
    <t>The programme consists of monthly in situ interprofessional simulated trauma activations in the emergency room trauma bay using a high-fidelity mannequin.
For each event, approximately eight to 10 simulation participants are drawn from nursing, respiratory therapy, emergency medicine and the trauma surgery team, all of whom are on-call or working in the emergency room at the time of the simulation. Scenarios are prefaced with 3-4 minutes pre-brief to orient participants. The duration of the scenarios are approx 20 min. Participants performance is directly observed by one surgeon debriefer. 
The debrief lasts 15-20 min and includes clinical management and CRM issues, both individuals and team related. At the end, learners are asked: "one thing they planned to take away from the simulation experience". 
We were able to identify three broad types of learning that participants described immediately following the team-based simulation experience: : (a) knowledge gains (‘now I know it’); (b) simple practice changes (‘now I'll do it’), and (c) learning goals (‘I'll have to work on that’).
For more complex skills that people recognised the need to ‘work on,’ however, there seemed to be very little specificity regarding what that work might actually entail. The current simulation structure
appeared to effectively help learners highlight deficiencies in their practice, but did not seem optimised for promoting learners to transform their awareness of weaknesses into efforts to iteratively improve in the complex and varying context of daily practice.
Overall, participants did not engage in fulsome development of SRL (self-regulated learning) plans based on the simulation and debriefing; however, there were elements of SRL present, particularly after participants were given time to reflect on the interview questions and their own goals. This suggests that simulation training can support the use of SRL. However, debriefing approaches might be better optimised to take full advantage of the opportunity to encourage and foster SRL in practice after the simulation is over.</t>
  </si>
  <si>
    <t>International technical transfer of training systems and skills in emergency medicine and trauma management: experiences of the National Center for Global Health and Medicine, Japan</t>
  </si>
  <si>
    <t xml:space="preserve">FOCUS ON TRAINING ON TRAUMA IN NEIGHBOUR COUNTRIES TO JAPAN AND HOW THIS SHOULD BE COUNTRY SPECIFIC.  </t>
  </si>
  <si>
    <t>DUPLICATED</t>
  </si>
  <si>
    <t>FOCUSED ON SOME SPECIFIC RARE PROCEDURES AND NOT ON HOW TO TRAIN HOW TO TREAT A TRAUMA PATIENT.
This work describes the development of a novel curriculum for EM faculty in a small group, hands-on, non-threatening, simulation-based learning environment to improve self-rated confidence with rare EM procedures. This course was refined over eight years, such that a novel procedural curriculum for academic EM faculty has emerged.
Initial procedures in 2012 were lateral canthotomy, ultrasound-guided, internal jugular
central venous access, resuscitative thoracotomy, and rescue airway techniques.
The intervention was a two-hour, simulation-based training session, repeated two to three times per year to allow all faculty to attend one session. The department head initially mandated attendance but not survey data collection. Each session included four procedural stations through which groups of two to four learners rotated. Each station focused on a different procedure.</t>
  </si>
  <si>
    <t>FOCUSED ON PSYCHOLOGICAL TRAUMAS</t>
  </si>
  <si>
    <t>Simulacao de incidente com multiplas vitimas: treinando profissionais e ensinando universitarios. Multiple victims incident simulation: training professionals and university teaching.</t>
  </si>
  <si>
    <t>ARTICLE ONLY FOUNDE IN PORTUGUESE</t>
  </si>
  <si>
    <t>During this simulation training, students were taught skills needed for emergency situations such as history taking, physical examination and procedures necessary for the primary survey of a patient. Moreover, students were taught how to use the material and practised their technical skills like orotracheal intubation and intraosseous puncture using a high-fidelity scenario, which was different in each session. Each scenario was designed with a topic and the necessary skills.
If a mistake were made, the instructor would stop the training and give feedback to the students. Students had to attend a weekly simulation training of 1 hour for 17 weeks. During this 1-hour session, students had a hands-on training by attending a clinical case.
Including a simulation training before the clinical rotation gave us the opportunity to compare two cohorts: one without (group A) and one with (group B) the additional simulation training. Both groups took a knowledge test twice: at the end of the fourth year and after 6 months. The knowledge test consisted of 30 multiple-choice questions regarding cardiovascular (Cardio) emergencies, polytraumatised patients (Trauma) and obstetric emergencies (OB). A total of 101 students participated in the study. 
Group B scored significantly higher in both tests and all subscores, except in the Trauma topic in the
first measurement point. Students in group A showed decay in knowledge whereas group B showed an
increase in knowledge.</t>
  </si>
  <si>
    <t>not exclusively, it considers more options (cardio + obstetrics)</t>
  </si>
  <si>
    <t>Requested to ReserachGate. Not found elsewhere.</t>
  </si>
  <si>
    <t>FOCUSED ON MILITARY TRAUMA CASES
Tracking injury patterns in the field is crucial not only to determine if current simulation training is accurately mimicking field scenarios, but also to determine if there have been changes in injury patterns since the onset of Operation Iraqi Freedom. This information will facilitate changes/updates in simulation task based training curriculums and research to ensure full competency and complete readiness of medical forces which will result in the best care possible for the injured war-fighter.</t>
  </si>
  <si>
    <t>European Trauma Course (ETC) has existed for several years. 
The Bonn shock‐room management course (BSM‐course®) differs from other courses in both format and principles. The aim of this study was to evaluate the quality of the structure of the course based on course evaluations of participants and its impact on the quality of the process and results for polytrauma care.
The basic idea of the course is to synchronize implementation of the so‐called ABCDE‐algorithm by the shock‐room team while taking into account CRM (Crew Resource Management) principles: communication, teamwork, situational awareness, decision making and task management. The evaluation of course structure quality was done according to an assessment of a web‐based “post‐course” participant evaluation. Participants were asked to grade 5 aspects of the BSM: Overall course assessment, teaching soft skills, selection of scenarios, learning effect using a full‐scale simulator, and the de‐briefing.
A total of 37 actions were carried out during the primary survey (ABCDE); according to CRM, the action was considered complete even if another team member carried it out. During simulation training, participants undergo 4 different scenarios which have different injury patterns with increasing complexity; since 2011, 4 courses have taken place annually. Measures taken: number of actions implemented, process time of shock-room care, completeness rate of prognostic variables. 
The BSM‐course® represents a symbiosis of horizontal team approach of trauma care and human factor training. The course format is able to ensure interdisciplinary and interprofessional team training with a high degree of efficiency. Furthermore, the presented work shows that a modern course concept can improve the quality of trauma care.</t>
  </si>
  <si>
    <t>ONLY FOUND IN KOREAN</t>
  </si>
  <si>
    <t xml:space="preserve">We added patient-perspective video feedback, coupled with a self-reflection exercise, to the TCCC training course. We mounted GoPro_x0002_ video cameras to the heads of patient-actors wearing the cut suits. The patient-mounted cameras allowed the students to view their own facial expressions, eye contact, communication with patients and teammates, and TCCC skill performance. Instructors completed student performance evaluation sheets while students cared for simulated casualties. We
required the students to perform a self-reflection exercise that evening.
Focus on TCCC, tactical combat casualty care. </t>
  </si>
  <si>
    <t>ARTICLE NOT FOUND</t>
  </si>
  <si>
    <t>Eliminamos registros rojos</t>
  </si>
  <si>
    <t>TS=(simulation OR web simulation OR patient simulation OR mannequin OR interactive) </t>
  </si>
  <si>
    <t>TS= trauma AND TS=(training OR education) </t>
  </si>
  <si>
    <t>TS = título, abstract, keywords</t>
  </si>
  <si>
    <t>Resuscitation</t>
  </si>
  <si>
    <t>Effectiveness of interactive videodisc instruction for the continuing education of paramedics.</t>
  </si>
  <si>
    <t>Heller, M; Stoy, W A; Shuman, L J; Wolfe, H; Zavada, C A</t>
  </si>
  <si>
    <t/>
  </si>
  <si>
    <t>Prehospital and disaster medicine</t>
  </si>
  <si>
    <t>1994 Jul-Sep</t>
  </si>
  <si>
    <t>70; discussion 171</t>
  </si>
  <si>
    <t>PROSPECTIVE-STUDY OF MANNEQUIN-ONLY VERSUS MANNEQUIN AND HUMAN SUBJECT ENDOTRACHEAL INTUBATION TRAINING OF PARAMEDICS</t>
  </si>
  <si>
    <t>STRATTON, SJ; KANE, G; GUNTER, CS; WHEELER, NC; ABLESONWARD, C; REICH, E; PRATT, FD; OGATA, G; GALLAGHER, C</t>
  </si>
  <si>
    <t>DEC 1991</t>
  </si>
  <si>
    <t>10.1016/S0196-0644(05)81073-X</t>
  </si>
  <si>
    <t>Acquisition and interpretation of focused diagnostic ultrasound images by ultrasound-naive advanced paramedics: trialling a PHUS education programme</t>
  </si>
  <si>
    <t>Brooke, Mike; Walton, Julie; Scutt, Diane; Connolly, Jim; Jarman, Bob</t>
  </si>
  <si>
    <t>APR 2012</t>
  </si>
  <si>
    <t>10.1136/emj.2010.106484</t>
  </si>
  <si>
    <t>The use of the laryngeal tube disposable by paramedics during out-of-hospital cardiac arrest: a prospectively observational study (2008-2012)</t>
  </si>
  <si>
    <t>Mueller, Jens-Uwe; Semmel, Thomas; Stepan, Roland; Seyfried, Timo F.; Popov, Aron F.; Graf, Bernhard M.; Wiese, Christoph H. R.</t>
  </si>
  <si>
    <t>DEC 2013</t>
  </si>
  <si>
    <t>10.1136/emermed-2012-201923</t>
  </si>
  <si>
    <t>Paramedic evaluation of adult Intraosseous Infusion System.</t>
  </si>
  <si>
    <t>Findlay, Judy; Johnson, David L; Macnab, Andrew J; MacDonald, David; Shellborn, Ryan; Susak, Lark</t>
  </si>
  <si>
    <t>2006 Sep-Oct</t>
  </si>
  <si>
    <t>Comparison of the TruView PCD video laryngoscope and macintosh laryngoscope for pediatric tracheal intubation by novice paramedics: a randomized crossover simulation trial</t>
  </si>
  <si>
    <t>Szarpak, Lukasz; Czyzewski, Lukasz; Kurowski, Andrzej; Truszewski, Zenon</t>
  </si>
  <si>
    <t>EUROPEAN JOURNAL OF PEDIATRICS</t>
  </si>
  <si>
    <t>OCT 2015</t>
  </si>
  <si>
    <t>10.1007/s00431-015-2538-0</t>
  </si>
  <si>
    <t>Assessment of Paramedic Ultrasound Curricula: A Systematic Review.</t>
  </si>
  <si>
    <t>McCallum, Jessica; Vu, Erik; Sweet, David; Kanji, Hussein D</t>
  </si>
  <si>
    <t>Air medical journal</t>
  </si>
  <si>
    <t>2015 Nov-Dec</t>
  </si>
  <si>
    <t>10.1016/j.amj.2015.07.002</t>
  </si>
  <si>
    <t>The Use of FAST Scan by Paramedics in Mass-casualty Incidents: A Simulation Study</t>
  </si>
  <si>
    <t>West, Brian; Cusser, J. Andrew; Etengoff, Stuart; Landsgaard, Hank; LaBond, Virginia</t>
  </si>
  <si>
    <t>PREHOSPITAL AND DISASTER MEDICINE</t>
  </si>
  <si>
    <t>DEC 2014</t>
  </si>
  <si>
    <t>10.1017/S1049023X14001204</t>
  </si>
  <si>
    <t>Educational standards for training paramedics in ultrasound: a scoping review</t>
  </si>
  <si>
    <t>Meadley, Ben; Olaussen, Alexander; Delorenzo, Ashleigh; Roder, Nick; Martin, Caroline; St Clair, Toby; Burns, Andrew; Stam, Emma; Williams, Brett</t>
  </si>
  <si>
    <t>BMC EMERGENCY MEDICINE</t>
  </si>
  <si>
    <t>JUN 17 2017</t>
  </si>
  <si>
    <t>10.1186/s12873-017-0131-8</t>
  </si>
  <si>
    <t>A new approach to teaching prehospital trauma care to paramedic students</t>
  </si>
  <si>
    <t>Johnson, DR; Macias, D; Dunlap, A; Hauswald, M; Doezema, D</t>
  </si>
  <si>
    <t>JAN 1999</t>
  </si>
  <si>
    <t>10.1016/S0196-0644(99)70416-6</t>
  </si>
  <si>
    <t>Investigating the Extent Realistic Moulage Impacts on Immersion and Performance Among Undergraduate Paramedicine Students in a Simulation-based Trauma Scenario A Pilot Study</t>
  </si>
  <si>
    <t>Mills, Brennen W.; Miles, Alecka K.; Phan, Tina; Dykstra, Peggy M. C.; Hansen, Sara S.; Walsh, Andrew S.; Reid, David N.; Langdon, Claire</t>
  </si>
  <si>
    <t>OCT 2018</t>
  </si>
  <si>
    <t>10.1097/SIH.0000000000000318</t>
  </si>
  <si>
    <t>Improving the quality of training paramedics by means of cadavers - a pilot study</t>
  </si>
  <si>
    <t>Leszczynski, Piotr; Muraczynska, Bozena; Wejnarski, Arkadiusz; Baczewska, Bozena; Malm, Maria; Drop, Bartlomiej</t>
  </si>
  <si>
    <t>JAN 21 2021</t>
  </si>
  <si>
    <t>10.1186/s12909-021-02498-x</t>
  </si>
  <si>
    <t>Perspectives of advanced life support paramedics on clinical simulation for summative assessment in South Africa: Is it time for change?</t>
  </si>
  <si>
    <t>Campbell, R. G.; Labuschagne, M. J.; Bezuidenhout, J.</t>
  </si>
  <si>
    <t>AFRICAN JOURNAL OF HEALTH PROFESSIONS EDUCATION</t>
  </si>
  <si>
    <t>SEP 2018</t>
  </si>
  <si>
    <t>10.7196/AJHPE.2018.v10i3.962</t>
  </si>
  <si>
    <t>Improving the Use of Pelvic Binding Devices During Pre-Hospital Care Through Application Modules on Advanced Dissection Specimens During Advanced Care Paramedic Labs</t>
  </si>
  <si>
    <t>Stubbs, Alexander</t>
  </si>
  <si>
    <t>FASEB JOURNAL</t>
  </si>
  <si>
    <t>APR 2017</t>
  </si>
  <si>
    <t>Annual Meeting of the American-Society-for-Pharmacology-and-Experimental-Therapeutics (ASPET) at Experimental Biology Meeting</t>
  </si>
  <si>
    <t>APR 22-26, 2017</t>
  </si>
  <si>
    <t>PROCEDURE SPECIFIC</t>
  </si>
  <si>
    <t>TRAINING WITH CADAVERS IS OUT OF SCOPE</t>
  </si>
  <si>
    <t>Trainees</t>
  </si>
  <si>
    <t>Context</t>
  </si>
  <si>
    <t>Simulation method</t>
  </si>
  <si>
    <t>Topics/skills</t>
  </si>
  <si>
    <t>Evaluation type</t>
  </si>
  <si>
    <t>Skills improvement</t>
  </si>
  <si>
    <t>Medical students</t>
  </si>
  <si>
    <t>Mannequin</t>
  </si>
  <si>
    <t>Continuous learning</t>
  </si>
  <si>
    <t>paramedics, emergency medical technicians (EMTs), medical doctors (MDs), nurse and fire fighters. (Research on simulation focusing on paramedics has increased, the share of published research articles focusing on EMTs has declined. The share of published studies focusing on MDs and on nurses remains stable).</t>
  </si>
  <si>
    <t>pre-hospital</t>
  </si>
  <si>
    <t xml:space="preserve">manikins, films-images-paper, live actors, cadavers and virtual reality. (manikins appear in a higher number of articles and VR in the lower). </t>
  </si>
  <si>
    <t xml:space="preserve">intubation, trauma care (simulation training methodology and staff performance which included pediatric resuscitation, intraosseous needle insertion and intranasal medication, assessment burn victims, blood loss or immobilisation), CPR, ventilation and triage. </t>
  </si>
  <si>
    <t xml:space="preserve"> n/a (it is a revision of articles which does not go into all the details)</t>
  </si>
  <si>
    <t>simulation provides a positive training and education method.</t>
  </si>
  <si>
    <t>medical students.</t>
  </si>
  <si>
    <t>in-hospital</t>
  </si>
  <si>
    <t xml:space="preserve">high fidelity simulator, standardized patient, e-learning simulation. </t>
  </si>
  <si>
    <t>different trauma skills depending on the training</t>
  </si>
  <si>
    <t xml:space="preserve">written tests, OSCE. </t>
  </si>
  <si>
    <t xml:space="preserve"> yes, in general there is an improvement on skills thaks to simulation. Although the evidence is limited, all but one study support the use of SBTE in the undergraduate medical curriculum. It appears to be an effective method to prepare medical students for trauma resuscitation. Furthermore, SBTE is generally highly appreciated by medical students.</t>
  </si>
  <si>
    <t>Ideas for exclusion criteria: articles focusing on the use of trauma simulation for postgraduate education (residents, faculty members, nurses, paramedics or other pre-hospital caregivers) and articles specifically focusing on pediatric trauma resuscitation, general surgical skills or team-education.</t>
  </si>
  <si>
    <t>paramedics and ambulance nurses.</t>
  </si>
  <si>
    <t>high fidelity manikins, actors</t>
  </si>
  <si>
    <t>different trauma management skills.</t>
  </si>
  <si>
    <t xml:space="preserve">yes, it was percieved an improvement in knowledge and skills. </t>
  </si>
  <si>
    <t>pre-hospital clinicians and emergency medicine consultants</t>
  </si>
  <si>
    <t>pre-hospital and in-hospital</t>
  </si>
  <si>
    <t xml:space="preserve">specifically focusing on triage, acute clinical response and acute hospital response. Different roles included in each scenario. </t>
  </si>
  <si>
    <t xml:space="preserve">5-point Likert scale responses from a questionnaire more focused on the usability. </t>
  </si>
  <si>
    <t xml:space="preserve">only feasibility of the VR simulation but no evaluation of technical or non-technical skills have been done. </t>
  </si>
  <si>
    <t xml:space="preserve">1day Basic Life Support, 2 day Advanced Cardiac Life Support and 3 h ATLS using manikins (3 scenarios) and standardised patients (3 scenarios); a total of 6 scenarios. Then 4 OSCE stations were used.  </t>
  </si>
  <si>
    <t>basic assessment, extended assessment &amp; initiation of medical therapy, taking actual &amp; past medical history; patient's management; report and handover.</t>
  </si>
  <si>
    <t>students were scored via checklist based on the learning objectives; task-specific following ABCD-algorithms</t>
  </si>
  <si>
    <t xml:space="preserve">yes, measurement 4 months after students completed the intervention period. The study demonstrates a huge impact of simulation in the development of practical competencies in emergency medicine. </t>
  </si>
  <si>
    <t>ATLS trainees</t>
  </si>
  <si>
    <t>virtual reality simulation with headsets: samsung VR using Unity 3D</t>
  </si>
  <si>
    <t>focus on decisions and diagnoses within the primary survey.</t>
  </si>
  <si>
    <t>Number of correct decisions, number of incorrect decisions, number of correct diagnoses, number of incorrect diagnoses, number of patient deaths and time taken. Also a web-based electronic survey.</t>
  </si>
  <si>
    <t>more focused on the validation of the platform developed; it shows that the instructor-groups caused less fatal-errors than the ATLS participants. Also evidence of validity for the developed application.</t>
  </si>
  <si>
    <t xml:space="preserve">emergency medicine, surgery and anesthesia residents. </t>
  </si>
  <si>
    <t>Mannequins</t>
  </si>
  <si>
    <t xml:space="preserve">decision making is analyzed; it is the focus to see if simulation can be used to train decision*making. </t>
  </si>
  <si>
    <t xml:space="preserve">checklist of 8 to 12 scorting items constructed for each scenario and used by 2 raters independently. Also a global score: 1-3 unsatisfactory, 4-6 satisfactory, 7-9 superior performance. Also a final scoring item: 0 (no credit for the action), or 1 (credit for the action). </t>
  </si>
  <si>
    <t>Simulation can be used to provide teams with decision-making experiences in trauma settings and could be used to improve diagnostic skills as well as study the decision-making process.</t>
  </si>
  <si>
    <t>A set of metrics that more effectively capture the decision-making process is needed for these types of scenarios.</t>
  </si>
  <si>
    <t>skills stations and simulations</t>
  </si>
  <si>
    <t xml:space="preserve">technical skills as well as trauma management in general. </t>
  </si>
  <si>
    <t xml:space="preserve">Participants evaluated each presentation, skill station (surginal and practical) and simulation on a rating scale from 1 to 4. </t>
  </si>
  <si>
    <t xml:space="preserve"> it is an evaluation of the ATLS training</t>
  </si>
  <si>
    <t xml:space="preserve"> final year medical students, interns and consultants. </t>
  </si>
  <si>
    <t xml:space="preserve"> lectures, practical skill stations and case scenarios. Skill stations: simulators for airway and cervical spine management, neck immobilization, log roll, physical exam of trauma patient, chest tube placement</t>
  </si>
  <si>
    <t>train on the basics primary and secondary survey.</t>
  </si>
  <si>
    <t xml:space="preserve">knowledge was assessed by 30 Best Choice Questions (BCQs) pre and post (30 points maximum). Trauma management skills were assessed with trauma scenario stations (20 points maximum). Organized approach (5 points maximum).  </t>
  </si>
  <si>
    <t>yes, in all aspects evaluated: knowledge, trauma management skills improved and organizational approach.</t>
  </si>
  <si>
    <t>surgical residents</t>
  </si>
  <si>
    <t>high fidelity mannequin and a standardized patient.</t>
  </si>
  <si>
    <t xml:space="preserve">trauma resuscitation skills. </t>
  </si>
  <si>
    <t xml:space="preserve"> questionnaire with subjective opinions.</t>
  </si>
  <si>
    <t xml:space="preserve">There was strong support from both students and instructors for the use of the simulator as a satisfactory substitute for the live patient model. Both methods are supported. </t>
  </si>
  <si>
    <t>medical students and residents</t>
  </si>
  <si>
    <t xml:space="preserve"> video-recorded standard lecture or a virtual patient training session.</t>
  </si>
  <si>
    <t xml:space="preserve">assessment, diagnosis and treatment procedures with spinal trauma. </t>
  </si>
  <si>
    <t xml:space="preserve">knowledge retention was assessed by a test (12 multiple-choice questions) following the educational intervention and repeated after 2 months. Participant learning experience was also evaluated with questionnaires. </t>
  </si>
  <si>
    <t xml:space="preserve">similar short-term and long-term knowledge retention with VP and standard lecture. Engagement level was higher for the VP than the standard lecture. </t>
  </si>
  <si>
    <t xml:space="preserve">fire rescue paramedics. </t>
  </si>
  <si>
    <t>mannequin</t>
  </si>
  <si>
    <t xml:space="preserve">tourniquet placement and needle decompression. 
Simulated scenario times with actual trauma scene time wrt timing of patient evaluation, interventions, and transport. Data recorded by evaluators: time of each intervention, if critical actions were completed, timing of those interventions, timing of trauma alert notification and the time spent on scene. </t>
  </si>
  <si>
    <t xml:space="preserve">self-assessment standard survey before and after the presentation of the simulated scenarios to measure the confidence level. Also the opinions about the simulation experience is gathered. Efficiency of simulation taking into account time measurement. Debriefing. </t>
  </si>
  <si>
    <t>Comments</t>
  </si>
  <si>
    <t>Residents</t>
  </si>
  <si>
    <t>teamwork, the management of a trauma patient, understanding
and empathizing with the roles and priorities of different team members, and anticipating next steps in care planning.</t>
  </si>
  <si>
    <t xml:space="preserve">CineVR recording simulated traumas with patient actors; then videos are seen in a VR headset. </t>
  </si>
  <si>
    <t>Each resident was given 4 prompts to think about
and reflect on while watching the video, known as a “talk
aloud.” These prompts asked learners to explain what they are
seeing and thinking while watching the VR video, what they
believe to be their priorities in managing care for the patient,
what they find to be essential stimuli, and what they find to be
distracting stimuli. After each VR viewing session, residents
participated in a semistructured interview.</t>
  </si>
  <si>
    <t>n/a</t>
  </si>
  <si>
    <r>
      <t xml:space="preserve">The purpose is to detail the process of finding a cineVR production partner, choosing camera perspectives, maintining patient, provider, and staff privacy, ensuring data security, executing cineVR production process andbuilding the curriculum. 
</t>
    </r>
    <r>
      <rPr>
        <sz val="12"/>
        <color rgb="FFFF0000"/>
        <rFont val="Calibri (Cuerpo)"/>
      </rPr>
      <t>Although medical simulation is an effective and well-established teaching tool, most methods depend on expensive models, require specific equipment and manpower, and are commonly considered to be low-fidelity and artificial to allow suspension of disbelief and immersion in the simulation [6-10].
Virtual reality (VR)–based medical education offers a potential
solution to these traditional simulation limitations. VR allows
learners to immerse themselves in an authentic and accessible
clinical scenario using 360-degree video VR and audio technology (cineVR), without compromising patient safety [11,12].</t>
    </r>
  </si>
  <si>
    <t>Didactic lecture and HPS (human performance simulator).</t>
  </si>
  <si>
    <t>initial trauma evaluation or treatment skills and crisis management skills</t>
  </si>
  <si>
    <t>simulation improves crisis management skills</t>
  </si>
  <si>
    <t>Automated evaluation</t>
  </si>
  <si>
    <t>Each session began with having a look at the recordings
of trauma resuscitations and then listing out the tasks
(treatment skills/part I) as well as the behavioral skills (crisis
management skills/part II) that we thought were important.
Each treatment task in part I was given a numerical score,
depending upon the level of importance (1 for least important and 5 for most important, the omission of which would be a critical error). For example, calling out the airway findings was worth 1 point; assuring a prompt intubation when indicated was worth 5 points. Other areas considered critical include ordering blood transfusions, performing emergent thoracostomy or thoracotomy if indicated, recognizing the needs for urgent laparotomy, head computed tomography scan, or pelvic angioembolization. The highest obtainable score would be 100 points but the actual number of obtainable points will obviously vary with each resuscitation, depending upon the actual needs of real patients with various injuries and various presentations after their injuries. Next, we developed a behavior grading sheet (part II) to capture various aspects of crisis management skills (teamwork, decision making, and situation awareness). Teamwork includes such skills as task delegation and completion, communication and maintaining leadership. Decision making requires the team leader to communicate a plan, to prioritize, and to identify other options. Situation awareness is demonstrated by managing crowds and distractions, maintaining calmness, and staying vigilant. This part of the scoring process requires that the video recording be stopped at frequent intervals (every 3 minutes) and that the team leader received a check for each time the behavior was observed during the preceding minutes.We recognized that behaviors change over time during resuscitations and we wanted to capture these changes. Finally, the assessment tool allows for an overall, more subjective grade
for each resuscitation (poor/fail, adequate, excellent).</t>
  </si>
  <si>
    <t>Written test at the completion of the training and an evaluation form from the students.
An objective method of measuring performance has been desinged evaluating treatment skills and crisis management skills. (more in comments).</t>
  </si>
  <si>
    <t>residents</t>
  </si>
  <si>
    <t>instrument use, knot-tying, suturing, laparoscopic skills, airway management, CPR, central venous catheter, chest tube insertion</t>
  </si>
  <si>
    <t>Pre-test prior training and final examination after the training: skills stations and written examination.
For cognitive skills: written tests
For technical skills: task-specific instruments</t>
  </si>
  <si>
    <t>high and lo-tech simulation platforms</t>
  </si>
  <si>
    <t>Cognitive skills improve through yesar; performance improved between pre and post test.</t>
  </si>
  <si>
    <t>Other evaluation systems: 
- OSATS: objective structures assessment of technical skills. Thy are forms to be answered by the trainer.
- ABSITE scores: 250 multiple choice questions, 5 hours exam
- New Innovations: it is a program that allows you to create evaluations, rate and create statisctics. 
- OP-Rate: server-based evaluation tool.</t>
  </si>
  <si>
    <t>virtual environments using Second Life and OpenSimulator</t>
  </si>
  <si>
    <t>The feasibility and face/content validity of using low-cost virtual worlds for multi-agency major incident simulation has been established. Major incident planners and trainers should explore utilising this technology as an adjunct to existing methodologies. Future work will involve development of robust assessment metrics.</t>
  </si>
  <si>
    <t xml:space="preserve">final year medical students. </t>
  </si>
  <si>
    <t>Simulation and its role in medical education. (review article)</t>
  </si>
  <si>
    <t>Objective evaluation</t>
  </si>
  <si>
    <t>yes??
(performance scores were autocatically recorded at simulation completion)</t>
  </si>
  <si>
    <t>Surgical residents, nurses, respiratory therapists and instructors (trauma surgeons, emergency physicians, nurses, intensivists)</t>
  </si>
  <si>
    <t xml:space="preserve">Attitude survey pre and post course, exploring:
- attitudes about simulation (6 items)
- attitudes about CRM (34 items): three domains: teamwork, safety climate and stress recognition
- course satisfaction (post only)
</t>
  </si>
  <si>
    <t>CRM focus, no focus on technical skills : teamwork, safety climate and stress recognition</t>
  </si>
  <si>
    <t>yes, improvement in teamwork and safety climate and with respect to simulation; improvement on its perception</t>
  </si>
  <si>
    <t>high fidelity simulator</t>
  </si>
  <si>
    <t>Virtual environments using Second Life and OpenSimulator</t>
  </si>
  <si>
    <t xml:space="preserve">Technical and non-technical skills were assessed. </t>
  </si>
  <si>
    <t>Participants are assessed agains t6–10 critical clinical treatment decisions and a further 6–14 observed manoeuvres or decisions, which are scenario dependent. For this feasibility study,  a modified form was created using the principles of the ATLS template and approved as being fit for purpose by two ATLS instructors and Emergency Medicine Consultants. Scenarios were observed and independently/blindly assessed in real time by an ATLS instructor and course director (NB)and ATLS provider (DC). Non-technical skills were independently/blindly assessed
by a human factors expert(NS)and ATLS instructor and course director (NB) using the recently validated Trauma NOTECHS scale (T-NOTECHS).</t>
  </si>
  <si>
    <t>ambulance HART practitioners, surgical registrars (doctors) and emergency department consultants</t>
  </si>
  <si>
    <t>Skills assessment depend on the scenario and different measures are used. 
To the best of our knowledge, this study is the first to attempt to formalise skills assessment in virtual environments.</t>
  </si>
  <si>
    <t>This has not been addressed. It is more focused on the tool and how this could be used to assess technical and non-technical skills</t>
  </si>
  <si>
    <t xml:space="preserve">Improving provider/team performance; identifying and mitigating threats to patient safety; systems and infrastructure improvement. </t>
  </si>
  <si>
    <t xml:space="preserve">Nurses, physicians and respiratory therapists. </t>
  </si>
  <si>
    <t>It is a specific case in which a cricothyroidotomy performance is targetted; this is evaluated:
- identify trauma team knowledge gaps
- address role allocation among team members during a difficulty airway
- identify LSTs (latent safety threat)</t>
  </si>
  <si>
    <t>none</t>
  </si>
  <si>
    <t>ISS: ‘team-based training technique conducted in the actual patient care environment using equipment and resources from that unit and involving actual members of the healthcare team’.
In contrast, objectives that can be effectively achieved outside of the clinical arena are probably best designated to
centre-based simulation. For example, the technical skill acquisition for cricothyroidotomy performance would best be carried out using task trainers in a simulation lab.</t>
  </si>
  <si>
    <t>The course comprised skill stations: airway
management, chest trauma management, hemorrhage control and shock management, and short focused simulations of a multi trauma patient.</t>
  </si>
  <si>
    <t>Pre and post test with evaluation metrics of trauma management and teamwork.</t>
  </si>
  <si>
    <t>ATLS, teamwork, communication, safety, preparation, patient handoff, airway management, chest trauma treatment, shock and hemorrhage control and transport</t>
  </si>
  <si>
    <t>Physicians and nurses</t>
  </si>
  <si>
    <t xml:space="preserve">yes, significant improvement in 4 of the 10 parameters measured: teamwork, communication, patient handoff and hemorrhage control.All topics improved but significantely only the four aspects highlighted.  </t>
  </si>
  <si>
    <t>Attending and senior resident physicians</t>
  </si>
  <si>
    <t>pre- and post-training evaluations consisting of a 26-question written exam and 2 simulation cases (measuring the percentage of critical actions completed and time to critical actions).</t>
  </si>
  <si>
    <t>standardised patients trained for that purpose</t>
  </si>
  <si>
    <t>basic trauma knowledge  as well as practising  thoracostomy, cricothyrotomy and pericardiocentesis
utilising low-cost models.</t>
  </si>
  <si>
    <t>yes, participants demonstrated a considerable improvement in
knowledge of trauma concepts demonstrated by statistically
significant differences in pre- and post-course written and
simulation exercises</t>
  </si>
  <si>
    <t>Based on three surgical simulation case studies, the importance of a human factors approach to the design of appropriate simulation content and interactive hardware for medical simulation is illustrated. The studies demonstrate that it is unnecessary to pursue real-world fidelity in all instances in order to achieve psychological fidelity</t>
  </si>
  <si>
    <t>The task of the user was to make appropriate decisions relating to the urgent treatment of an incoming virtual casualty with a ‘zone 1’ neck fragmentation wound.</t>
  </si>
  <si>
    <t>Appropriate interventions—oxygen provision, blood sampling, ‘hands-on’ body
checks, patient visual and physiological observation, endotracheal intubation, and so on—had to be applied in less than 5 minutes in order to save the virtual casualty’s life.</t>
  </si>
  <si>
    <t>Virtual reality platform</t>
  </si>
  <si>
    <t>surgical trainees</t>
  </si>
  <si>
    <t>surgeons</t>
  </si>
  <si>
    <t>porcine simulation</t>
  </si>
  <si>
    <t>Survy in internet measuring the following topics: 
- can identify injuries more quickly
- have a more organized operative approach
- can control bleeding more quickly
- can control injuries more effectively
- more competent trauma surgeons
- more confidence
- more knowledgeable about penetrating injuries
- training is worthwhile</t>
  </si>
  <si>
    <t>The ATOM course is designed to enhance surgeons’
knowledge, confidence, and skill in repairing
penetrating injuries.</t>
  </si>
  <si>
    <t>yes, the ATOM training improves knowledge, confidence and skills</t>
  </si>
  <si>
    <t>motor skills, critical decision-making, scene management and team interaction</t>
  </si>
  <si>
    <t>helicopter emergency medical service doctors and paramedics</t>
  </si>
  <si>
    <t>a simple intubatable mannequin</t>
  </si>
  <si>
    <t>All scenarios benefit from immediate debriefs which are structured and guided by a check sheet which is based on one used to debrief real training missions.</t>
  </si>
  <si>
    <t>Not specifically addressed but it is stated that the method can be used for learning new skills, communications and leadership.</t>
  </si>
  <si>
    <t>multiple-choice question (MCQ) pretest before a tutorial on the recognition and management of shock followed by high-fidelity simulation/debriefing and MCQ post-test.</t>
  </si>
  <si>
    <t>high fidelity manikin</t>
  </si>
  <si>
    <t xml:space="preserve"> - recognize the etiology of shock: hypovolemia, cardiogenic, distributive, obstructive
- initiate management to stabilize the patient establish diagnosis, implement therapy, commnicate to primary team and intensive care unit</t>
  </si>
  <si>
    <t>yes but repeated simulation exposure was more effective
than single simulation exposure at improving MCQ performance.</t>
  </si>
  <si>
    <t>Casualty cards</t>
  </si>
  <si>
    <t>Triage and primary management:
• Train all components of the chain of response simultaneously,
including communication and coordinating
between involved units,
• Train decision-making on all levels, from command
level to triage and treatment of individual casualties,
• Provide interactive training with every participant
active in his/her role (‘‘learning by doing’’).</t>
  </si>
  <si>
    <r>
      <rPr>
        <u/>
        <sz val="12"/>
        <color theme="1"/>
        <rFont val="Calibri (Cuerpo)"/>
      </rPr>
      <t>Evaluation of the result of the response:</t>
    </r>
    <r>
      <rPr>
        <sz val="12"/>
        <color theme="1"/>
        <rFont val="Calibri"/>
        <family val="2"/>
        <scheme val="minor"/>
      </rPr>
      <t xml:space="preserve">
The following criteria were used to evaluate the outcome of the response:
• Times for alert and response,
• Times for primary and secondary reports,
• Over- and under-triage,
• Ambulance and helicopter waiting times,
• Preventable mortality and complications.
</t>
    </r>
    <r>
      <rPr>
        <u/>
        <sz val="12"/>
        <color theme="1"/>
        <rFont val="Calibri (Cuerpo)"/>
      </rPr>
      <t xml:space="preserve">Evaluation of the training model:
</t>
    </r>
    <r>
      <rPr>
        <sz val="12"/>
        <color theme="1"/>
        <rFont val="Calibri (Cuerpo)"/>
      </rPr>
      <t>- Evaluation of the accuracy and quality of the simulation system: with evaluation forms 
- Assessment of the effects of the training on specific competencies: self-assessment forms
- Assessment of the accuracy of the course as a whole: self-assessment forms</t>
    </r>
  </si>
  <si>
    <t>physicians, nurses, paramedics, military, administrator</t>
  </si>
  <si>
    <t>yes, it improved the skills are per trainee  declaration in the response provided in the questonnaire</t>
  </si>
  <si>
    <t xml:space="preserve">short-term and long-term retention process is addressed highlighting the fact that </t>
  </si>
  <si>
    <t>nondoctor first responders</t>
  </si>
  <si>
    <t xml:space="preserve"> - airway management
- hemorrhages
- fractures
- cervical spine injury
- chest injury
- IV line placement
- extrication
- scene assessment
- triage
- communication</t>
  </si>
  <si>
    <t>yes, all areas improved; the highest increase: cervical spine injury and hemorrhage management.</t>
  </si>
  <si>
    <t>Pretraining and posttraining assessments that measured competence over the program's 10 core topics. 
Six months post training surveys to obtain feedback wrt trainees' experiences.</t>
  </si>
  <si>
    <t>refresher training courses are addressed</t>
  </si>
  <si>
    <t>nurses, nurse practitioners, radiology technicians and attending and trainee physicians</t>
  </si>
  <si>
    <t>Focused on the concept of telesimulation, the logistics, the technical feasibility.....
Several aspects of telesimulation require further
study to determine when it is best to use telesimulation
as opposed to in-person simulation. Learner and
instructor perceptions and learner outcomes need to
be assessed to determine the equivalence of the
approaches.</t>
  </si>
  <si>
    <t>Overall performance.
Leadership skills, problam solving skills, situational awareness skills, resource utilizacion skills, communication skills.</t>
  </si>
  <si>
    <t>OGRS: Ottawa Global Rating Scale. Categories on a 7 point scale. Evaluation only of the leader as the behaviour of the entire team. 
Assessment was done by team facilitators.</t>
  </si>
  <si>
    <t>yes, Postgraduate year 3 residents who had prior training had significantly improved crisis
performance compared to historical postgraduate year 3 controls and untrained postgraduate year
2 residents.</t>
  </si>
  <si>
    <t>long-term retention after crisis nontechnical skill training</t>
  </si>
  <si>
    <t>interns</t>
  </si>
  <si>
    <t>Improving communication and teamwork skills</t>
  </si>
  <si>
    <t>content lectures, groups discussion of video demonstrations, skills development workstations</t>
  </si>
  <si>
    <t>Pre and postconfidence surveys with 15 questions, pre and postcognitive questionnaires (also 15 questions) and a validated evaluation tool of teamwork and leadership skills.</t>
  </si>
  <si>
    <t>yes, in some areas such as self-reported confidence of CRM concepts, role delegation, leadership and performance of primary and secondary surveys.</t>
  </si>
  <si>
    <t>PDF NOT AVAILABLE; REQUESTED BUT NOT AVAILABLE</t>
  </si>
  <si>
    <t>residents and emergency nurses</t>
  </si>
  <si>
    <t>T-NOTECHS plus qualitative analysis from the debriefing videos.</t>
  </si>
  <si>
    <t>Non-technical skills (based on T-NOTEHCS):
- leadership
- cooperation and resource management
- communication and interaction
- assessment and decision making
- situational awareness and stress coping</t>
  </si>
  <si>
    <t>yes, only in communication and interaction</t>
  </si>
  <si>
    <t>yes, statistically difference in improvement in knowledge and self-efficacy. 
No statistically difference between groups (residents from trauma centers vs other residents).</t>
  </si>
  <si>
    <t>Pre and post course evaluations of knowledge and self-efficacy, 25 multiple choice questions fulfilled by the participants. The operative evaluation test is completed by the instructor.</t>
  </si>
  <si>
    <t>not stated</t>
  </si>
  <si>
    <t>Knowledge, self-efficacy and operative skills</t>
  </si>
  <si>
    <t>pre and post test evaluations 
questionnaire to assess reality perception</t>
  </si>
  <si>
    <t>mannequin and standardised patients</t>
  </si>
  <si>
    <t>Medical knowledge in treatment of 4 scenarios</t>
  </si>
  <si>
    <t xml:space="preserve">yes, improvement in all scenarios. </t>
  </si>
  <si>
    <t>There were significantly higher post-test scores achieved with SP simulations in three out of the four scenarios (P=0.01). When compared with the mannequin group, the SP simulation group showed a significantly higher average realism score (P=0.002).</t>
  </si>
  <si>
    <t xml:space="preserve">yes, improves provider's confidence level in performing the procedure. </t>
  </si>
  <si>
    <t>paramedics and different roles involved in emergency medicine</t>
  </si>
  <si>
    <t>It is a very short paper that focused more on the presentation of the virtual reality platform with no details wrt the training skills focus. Still under development.</t>
  </si>
  <si>
    <t>virtual reality patient</t>
  </si>
  <si>
    <t>undergraduate medical students, third year</t>
  </si>
  <si>
    <t>Summary report created by the trainees to be graded by experts using a subjective surgical approach and by non-experts using two scoring rubrics.
Summary statement limited to 300 words and summarizes the case as if it was reported to an attending staff person. Then the procedural and semantuc rubris scoring tools were created.</t>
  </si>
  <si>
    <t>Procedural issues: critical judgement/problem solving (directly related to perform a comprehensive ATLS primary survey and its management) and semantic issues: communication skills.</t>
  </si>
  <si>
    <r>
      <rPr>
        <b/>
        <sz val="12"/>
        <color theme="1"/>
        <rFont val="Calibri"/>
        <family val="2"/>
        <scheme val="minor"/>
      </rPr>
      <t xml:space="preserve">Focused on the development of a scoring system to see if clerkship improves procedural and semantic issues using a virtual patient scenario. 
</t>
    </r>
    <r>
      <rPr>
        <sz val="12"/>
        <color theme="1"/>
        <rFont val="Calibri"/>
        <family val="2"/>
        <scheme val="minor"/>
      </rPr>
      <t xml:space="preserve">
Forexample,if “airway” was not specifically mentioned,butintubationwasnotedtohave
occurred,thestudentreceivedone-halfpointforaddressing
airway aspartoftheATLSPrimaryTraumaSurvey.Thus
raters gaveamarkof0iftheprocedureortermwasnot
used, 0.5markifitwasimplied,andonemarkifitwas
clearlymentioned.WithrespecttotheSemanticrubric,
specific phrasingwasrequiredinthesummarystatement.
If thephrasewasincluded,forexample ‘severe respiratory
distress’ or ‘pneumothorax’ then thelearnerreceivedone
point. Ifaphrasewasmissing,ascoreofzerowasgiven.</t>
    </r>
  </si>
  <si>
    <t>yes, the procedural issues improve after cleckship and the semantic issues improve but no with significance</t>
  </si>
  <si>
    <t>Clinical knowledge: knowledge of diagnostic and therapeutic procedures, knowledge of the sequence of these procedures and practical skill performance</t>
  </si>
  <si>
    <t>To evaluate the knowledge of diagnostic and therapeutic procedures, score +1 was considered for sufficient knowledge of each procedure, score -1 for  insufficient knowledge and 0 for not having any knowledge about the procedure. For scoring the interns' knowledge of the sequence of the procedures in trauma patients, score +1 was considered for sufficient knowledge and 0 for not considering a correct sequence. In evaluating ATLS performance skill, score +3 was considered for complete appropriate performance, scored 0 for inappropriate
performance and score +1 or +2 for relatively appropriate performing skills based on the examiner's opinion.
Skillfulness of practitioners evaluated in three domains according to approved ATLS check lists with previously confirmed reliability and validity was chosen.</t>
  </si>
  <si>
    <t>yes, the students’ scores significantly increased in all
three domains comparing pre- and post-ATLS periods</t>
  </si>
  <si>
    <t>Admission, equipment, monitoring and saftey (skill set 1); systematic clinical examinations (skill set 2); principal injury diagnosis and therapy (skill set 3).</t>
  </si>
  <si>
    <t>Primary end point : increase between step 1 and 3 in the combined score for skills set 1 and 2: maximum score 45 points 
Secondary end point : Improvement in skill set 3 score: maximum score 15 points
Evaluation criterua created and validated by the medical team at the Brenoble Univeristy in accordance with the dational and official teaching program.</t>
  </si>
  <si>
    <t>medical students (4th, 5th and 6th year)</t>
  </si>
  <si>
    <t>yes, all skill sets improved showing significance in skill sets 1 and 2</t>
  </si>
  <si>
    <t>Initial test: MCQ (multiple choice question) with 25 questions based on the primary survey of ATLS and initial assessment and management.
Both groups were evaluated by a trauma station in an objective structured clinical  examination (OSCE) after a month. The performance in the experimental group was statistically better (P=0.001) in OSCE.</t>
  </si>
  <si>
    <t>Knowledge in trauma and basic skills</t>
  </si>
  <si>
    <t xml:space="preserve">yes, skills improved in the experimental group (distance learning) </t>
  </si>
  <si>
    <t>lecture or DVD with lecture; case simulation scenario; hand-on session to practice skills.</t>
  </si>
  <si>
    <t>Variables analyzed: agen, gender, mechanism of injury, blint or penetrating, time to intervention.</t>
  </si>
  <si>
    <t>yes, median time to most interventions improved over time.</t>
  </si>
  <si>
    <t>Basic trauma procedures: sheath placement, tube thoracostomy, resuscitative thoracotomy and an end-of-month simulation.</t>
  </si>
  <si>
    <t>not explained</t>
  </si>
  <si>
    <t>Standardised patients trained for that purpose</t>
  </si>
  <si>
    <t>Physical examination (PE), history-taking skills and communications skills</t>
  </si>
  <si>
    <t>partially</t>
  </si>
  <si>
    <t xml:space="preserve">5-question decision-making test after each scenario. The key answer was pre-entered in a computer program calculating automatically the score. 
Checklists to score the videotaped simulations: PE and history were objective checklists but communication was a subjective checklist. 
All the marks included in the computer program to obtain an overall score. </t>
  </si>
  <si>
    <t xml:space="preserve">yes for communication skills, improvement but not significan n history-taking skills and no improvement in PE skills. </t>
  </si>
  <si>
    <t>skills stations</t>
  </si>
  <si>
    <t>several procedures: pelvic binder, trouniquet, intraosseous access, REBOA, ED thoracotomy, Femoral venous line, chest tube, anke brachial indices and cricothyroidotomy</t>
  </si>
  <si>
    <t>pre and post test using a 5-point likert scales</t>
  </si>
  <si>
    <t>yes, simulation-based trauma training improves the confidence of residents performing trauma-related procedures.</t>
  </si>
  <si>
    <t>nurses, respiratory therapists, emergency medicine and trauma surgery staff</t>
  </si>
  <si>
    <t xml:space="preserve">Clinical management and CRM (crisis resource management) </t>
  </si>
  <si>
    <t>Performance is directly observed by one of several possible surgeons debriefers with training in debriefing models. 
Two semi-structured interviews.</t>
  </si>
  <si>
    <t>It is more focused on the nature of learning from and after simulation than the skills as such.</t>
  </si>
  <si>
    <t>History taking, physical examination and procedures for the primary survey</t>
  </si>
  <si>
    <t>skills stations and high fidelity simulator</t>
  </si>
  <si>
    <t>Knowledge test of 30 miltiple-choice questions.</t>
  </si>
  <si>
    <t>yes, all skills improved</t>
  </si>
  <si>
    <t>comparison from students who attending simulation training with respect to students who did not attend simulation training. There is a significance difference in all aspects.</t>
  </si>
  <si>
    <t>The basic idea of the course is to synchronize implementation of the so‐called ABCDE‐algorithm by the shock‐room team while taking into account CRM principles.</t>
  </si>
  <si>
    <t>Web-based post-course participant evaluation</t>
  </si>
  <si>
    <t>doctors</t>
  </si>
  <si>
    <t>ABCDE-algorithm and CRM principles: communication, teamwork, situational awareness, decision making and task management.
5 process times (emergency room/
shock room) were evaluated based on the annual reports and it is based on process times between arrival at the shock‐room and the
commencement of a procedure.</t>
  </si>
  <si>
    <t>full-scale simulator (high fidelity)</t>
  </si>
  <si>
    <t>Effectiveness of interactive videodisc instruction for the continuing education of paramedics. (1993).</t>
  </si>
  <si>
    <t>A new approach to teaching prehospital trauma care to paramedic students. (1999).</t>
  </si>
  <si>
    <t>paramedical students</t>
  </si>
  <si>
    <t>Patient actor</t>
  </si>
  <si>
    <t xml:space="preserve">Immersion: interviews with participants, eye-ytracking (glasses), NASA-TLX (index)
Performance: clinical assessment, time-to-action </t>
  </si>
  <si>
    <t>Interviews, checklist, visual analysis of videos, ….</t>
  </si>
  <si>
    <t>It is more focused on the realism of the training and the usage of the tool than to study if participants improve their skills. Sure that that would be the next steps to follow.</t>
  </si>
  <si>
    <t>paramedics</t>
  </si>
  <si>
    <t>assessment criteria and case types</t>
  </si>
  <si>
    <t>Four focus groups interviews</t>
  </si>
  <si>
    <t>full-body mannnequins</t>
  </si>
  <si>
    <t>It is more focused on whether simulation is a valuable instrument for assessing competence. This study is not entirely favourable.</t>
  </si>
  <si>
    <t>Simulation Training in Trauma (review)</t>
  </si>
  <si>
    <t>Patient Simulation as an Active Learning Tool in Medical Education.(review)</t>
  </si>
  <si>
    <t>Training and simulation for patient safety (review)</t>
  </si>
  <si>
    <t>Eliminamos reviews, outofscope</t>
  </si>
  <si>
    <t>Training in trauma management: the role of simulation-based medical education.(review)</t>
  </si>
  <si>
    <t>Patient Simulation as an Active Learning Tool in Medical Education. (review)</t>
  </si>
  <si>
    <t>Simulation and its role in medical education. (review)</t>
  </si>
  <si>
    <t>Simulation research has demonstrated students can improve scores on standardized tests as well as improve their confidence. Research is still needed to address the long-term impact of patient simulation training. Although simulations have gained popularity, researchers caution that they should always be used as part of clinical education and not as a substitute.
This is a literature revision article with 29 arcticles referred in this research:
- high fidelity simulations
- training programs using patient simulations
- specific skill training using simulations
- incorportaing simulations into standardized medical exams
- using simulation to distinguish level of experience
- simulation to build teamwork skills</t>
  </si>
  <si>
    <t>Scandinavian trauma research is characterised by an active collaboration across countries.
The current challenges require a focus on the role of traumatology within an increasingly fragmented health care system. Regional networks of predictable and accountable pre- and in-hospital resources are needed for efficient trauma systems. Successful development requires both novel research and scientific assessment of imported principles of trauma care.</t>
  </si>
  <si>
    <r>
      <t xml:space="preserve">Simulation methods: manikins, films, images or paper, live actors, animals and virtual reality.
Staff categories: paramedics, emergency medical technicians, medical doctors, nurse and fire fighters.
Main topics: intubation, trauma care, CPR, ventilation and triage.
</t>
    </r>
    <r>
      <rPr>
        <b/>
        <sz val="12"/>
        <color theme="1"/>
        <rFont val="Calibri"/>
        <family val="2"/>
        <scheme val="minor"/>
      </rPr>
      <t xml:space="preserve">CONCLUSIONS: </t>
    </r>
    <r>
      <rPr>
        <sz val="12"/>
        <color theme="1"/>
        <rFont val="Calibri"/>
        <family val="2"/>
        <scheme val="minor"/>
      </rPr>
      <t xml:space="preserve">current state reveals inadequate skills regarding:
 - ventilation
 - CPR
 - resuscitation in pediatrics
 - assessing and manging burn victims
The simulation methods are ordered taking into account their presence in the studies; this means that manikins were the simulation method used in more studies.
With respect to the participants, simulation focused on paramedics has increased, has decreased in emergency medical technicians and in the rest, remains stable.
Conclusions with respecto to the impact of simulation as a positive training method for education in trauma care, performance and assessment.
Intubation was the area with most published articles and ventilation the most infrequent. 
</t>
    </r>
    <r>
      <rPr>
        <b/>
        <sz val="12"/>
        <color theme="1"/>
        <rFont val="Calibri"/>
        <family val="2"/>
        <scheme val="minor"/>
      </rPr>
      <t xml:space="preserve">First search generated 865 hits, and 165 articles were included in the article. </t>
    </r>
  </si>
  <si>
    <r>
      <t xml:space="preserve">Results:
- past studies are underpowered to detect effects of the magnitude to be found
- researchers seeking to demonstrate equivalence of training approaches do not use appropirate statistical tests
- Studies often use performance criterion test beds that may not support valid conclusions about trainees' future performance on the job.
</t>
    </r>
    <r>
      <rPr>
        <b/>
        <sz val="12"/>
        <color theme="1"/>
        <rFont val="Calibri"/>
        <family val="2"/>
        <scheme val="minor"/>
      </rPr>
      <t xml:space="preserve">This article studies the small body of existing research comparing simulation modalities for SBT in health care with the goal of exposing methodological issues. </t>
    </r>
    <r>
      <rPr>
        <sz val="12"/>
        <color theme="1"/>
        <rFont val="Calibri"/>
        <family val="2"/>
        <scheme val="minor"/>
      </rPr>
      <t xml:space="preserve">
This article sets recommendations for making comparative studies between different SBT research methods:
1. Sample sufficient numbers of participants to detect significant effects
2.1. Report reliability statistically appropriate estimates
2.2. Use robust measurement protocols to ensure highly-reliable measurement
3. Choose alpha levels (different from the typical 0.05 to declare statistical significance) to sensibly balance relative risks of errors. 
4.1. For tests that fail to detect differences between experimental conditions, avoid erroneously accepting the null hypothesis.
4.2. When proving the null hypothesis is a research goal, use strong null hypothesis statistical testing.
5.1. Use criterion performance test beds that correspond highly to the conditions and demands that trainees will face on the job.
5.2. When simulators must be used as criterion test beds, usecrossed-criterion desings to reduce bias and strngthen inferences. 
</t>
    </r>
    <r>
      <rPr>
        <b/>
        <sz val="12"/>
        <color theme="1"/>
        <rFont val="Calibri"/>
        <family val="2"/>
        <scheme val="minor"/>
      </rPr>
      <t>20 articles included; does not mention the initial number of studies found</t>
    </r>
    <r>
      <rPr>
        <sz val="12"/>
        <color theme="1"/>
        <rFont val="Calibri"/>
        <family val="2"/>
        <scheme val="minor"/>
      </rPr>
      <t xml:space="preserve">. </t>
    </r>
  </si>
  <si>
    <r>
      <t xml:space="preserve">Search of 441 articles and after removal and exclusion criteria: 46 remained for full-text screening. 8 studies were finally included in the study.  Three categories:
 - effectiveness: 4 studies reported effectiveness of SBTE for medical students 
 - student perception: in general student perception is positive
 - simulation modalities: only one study directly compares two different modalities and they demonstrated that medical student performance in trauma management showned no difference but students preferred the mechanical model vs a standardize live patient. 
Although the evidence is limited, all but one study support the use of SBTE in the undergraduate medical curriculum. It appears to be an effective method to prepare medical students for trauma resuscitation. Furthermore, SBTE is generally highly appreciated by medical students. They experience simulation as interesting and enjoyable, and indicate they would benefit from more exposure to simulation in the medical curriculum.
Ongoing educational research is still needed to validate long-term retention of knowledge and skills, and to demonstrate the improvement in patient safety and overall quality of care. The best modality for simulating trauma scenarios in undergraduate medical education is yet to be determined.
</t>
    </r>
    <r>
      <rPr>
        <b/>
        <sz val="12"/>
        <color theme="1"/>
        <rFont val="Calibri"/>
        <family val="2"/>
        <scheme val="minor"/>
      </rPr>
      <t>441 articles in the first search; 11 included in the article</t>
    </r>
  </si>
  <si>
    <r>
      <t xml:space="preserve">Aim was to describe what ambulance nurses and paramedics in prehospital emergency care perceive as important for learning when simulation exercises. 
Results: important aspects are: repetitions, realism, being able to coummunicate with patient and debriefing. 
- Interaction with a physiolocically accurante manikin improved knowledge and experiences. 
- Opportunity to comunicate with the patient enhaced realism and learning experience.
- Virtual patients were only to a certain degree perceived as realistic due to the perception that actual patients demanded a more complex intervention than the simulation exercises entailed. 
To provide sufficient time to perform each scenario was give is considered important. 
</t>
    </r>
    <r>
      <rPr>
        <b/>
        <sz val="12"/>
        <color theme="1"/>
        <rFont val="Calibri"/>
        <family val="2"/>
        <scheme val="minor"/>
      </rPr>
      <t xml:space="preserve">1125 articles in the first search, 7 articles met the inclusion criteria. </t>
    </r>
  </si>
  <si>
    <r>
      <t xml:space="preserve">All studies found statistical improvement in performance after simulation training. Also simulation impacts positively in retention of the simulation skills. Clinicians who had simulation training are more likely to adhere to clinical guidelines; also team performance is better after simulation training. 
Most of the studies included limitations in their studies.
</t>
    </r>
    <r>
      <rPr>
        <b/>
        <sz val="12"/>
        <color theme="1"/>
        <rFont val="Calibri"/>
        <family val="2"/>
        <scheme val="minor"/>
      </rPr>
      <t xml:space="preserve">
92 first search; 7 studies inluded in the article </t>
    </r>
  </si>
  <si>
    <r>
      <t xml:space="preserve">Questions:
- What is reported in the existing literature on training in PT in medical curricula?
- What teaching methods are used in PT education in medical curricula?
- What is the evidence of impact of PT training in medical curricula?
</t>
    </r>
    <r>
      <rPr>
        <b/>
        <sz val="12"/>
        <color theme="1"/>
        <rFont val="Calibri"/>
        <family val="2"/>
        <scheme val="minor"/>
      </rPr>
      <t xml:space="preserve">The initial search was of 692 articules; finally, 9 were included in this study. </t>
    </r>
    <r>
      <rPr>
        <sz val="12"/>
        <color theme="1"/>
        <rFont val="Calibri"/>
        <family val="2"/>
        <scheme val="minor"/>
      </rPr>
      <t xml:space="preserve">
Three articles discussed the role and effectiveness of implementing TMCs (Trauma Management Courses) at the indergraduate level. There are a variety of different trauma courses that are applied in different medical schools with different procedures. The use of simulation to teach technical and non-technical skills was described in four articles. The outcome was that students found learning in a simulation setting more useful compared with traditional lectures on trauma topics. 
Finding reveal a relative lack of research on eductaion in PT in undergraduate medical training:
- in some cases, little time spent in trauma education
- in some cases, limited evidence on the learning achieved from trauma education
- traditional classroom teaching was viewed by students as inadequate
- the focus should be on creating effective trauma educational programmes integrated into the curriculum; lack of standardisation of trauma education in undergraduate medical curricula. 
In general, there is a paucity of literature on PT training in undergraduate medical curricula. </t>
    </r>
  </si>
  <si>
    <r>
      <t>Training modalities in trauma continues to rapidly multiply. Simulation extends from simple trauma scenario discussion to advanced virtual reality experiences. The choice of simulation is largely dependent upon the desired outcome, which is broadly divided into either</t>
    </r>
    <r>
      <rPr>
        <b/>
        <sz val="14"/>
        <color theme="1"/>
        <rFont val="Calibri (Cuerpo)"/>
      </rPr>
      <t xml:space="preserve"> task-oriented or non-technical skill acquisition. </t>
    </r>
    <r>
      <rPr>
        <sz val="12"/>
        <color theme="1"/>
        <rFont val="Calibri"/>
        <family val="2"/>
        <scheme val="minor"/>
      </rPr>
      <t xml:space="preserve">
From low-fidelity trainers, such as tube thoracostomy mannequins, to highfidelity simulators with immediate and realistic feedback, to virtual reality constructs that provide an immersive experience, there are a wide range of available simulation methodologies directed at improving trauma care and reducing errors at every stage of the process.
</t>
    </r>
    <r>
      <rPr>
        <b/>
        <sz val="12"/>
        <color theme="1"/>
        <rFont val="Calibri"/>
        <family val="2"/>
        <scheme val="minor"/>
      </rPr>
      <t>STANDARDIZED PATIENTS</t>
    </r>
    <r>
      <rPr>
        <sz val="12"/>
        <color theme="1"/>
        <rFont val="Calibri"/>
        <family val="2"/>
        <scheme val="minor"/>
      </rPr>
      <t xml:space="preserve">
Non-technical skill training is an area of simulation particularly suited to standardized patient  encounters. The American College of Surgeons utilizes standardized patients, complete with simulated blood, open fractures and other injuries, during ATLS® courses. After dressing in appropriate grab and moulage, they are given scripts related to their assigned traumatic event, and answer questions of the participants accordingly.
</t>
    </r>
    <r>
      <rPr>
        <b/>
        <sz val="12"/>
        <color theme="1"/>
        <rFont val="Calibri"/>
        <family val="2"/>
        <scheme val="minor"/>
      </rPr>
      <t>LOW FIDELITY VS HIGH FIDELITY</t>
    </r>
    <r>
      <rPr>
        <sz val="12"/>
        <color theme="1"/>
        <rFont val="Calibri"/>
        <family val="2"/>
        <scheme val="minor"/>
      </rPr>
      <t xml:space="preserve">
Trauma training typically employs both low- and high-fidelity training modalities. In addition to technical skill training, high-fidelity simulators offer the benefit of teaching non-technical skills and team training.
</t>
    </r>
    <r>
      <rPr>
        <b/>
        <sz val="12"/>
        <color theme="1"/>
        <rFont val="Calibri"/>
        <family val="2"/>
        <scheme val="minor"/>
      </rPr>
      <t xml:space="preserve">VIRTUAL REALITY
</t>
    </r>
    <r>
      <rPr>
        <sz val="12"/>
        <color theme="1"/>
        <rFont val="Calibri"/>
        <family val="2"/>
        <scheme val="minor"/>
      </rPr>
      <t xml:space="preserve">Virtual reality simulations have the ability to connect multiple users at multiple locations to increase availability to centers with limited resources.
</t>
    </r>
    <r>
      <rPr>
        <b/>
        <sz val="12"/>
        <color theme="1"/>
        <rFont val="Calibri"/>
        <family val="2"/>
        <scheme val="minor"/>
      </rPr>
      <t xml:space="preserve">CADAVER TRAINING
</t>
    </r>
    <r>
      <rPr>
        <sz val="12"/>
        <color theme="1"/>
        <rFont val="Calibri"/>
        <family val="2"/>
        <scheme val="minor"/>
      </rPr>
      <t xml:space="preserve">Cadavers have long-been employed to teach anatomy and surgical technique and continue to be an excellent training tool.
</t>
    </r>
    <r>
      <rPr>
        <b/>
        <sz val="12"/>
        <color theme="1"/>
        <rFont val="Calibri"/>
        <family val="2"/>
        <scheme val="minor"/>
      </rPr>
      <t xml:space="preserve">TRAUMA NON-TECHNICAL SKILLS
</t>
    </r>
    <r>
      <rPr>
        <sz val="12"/>
        <color theme="1"/>
        <rFont val="Calibri"/>
        <family val="2"/>
        <scheme val="minor"/>
      </rPr>
      <t xml:space="preserve">While many of the above methods are designed with specific tasks in mind, non-technical skills training in trauma is of equivalent importance. Most errors in the care of trauma patients are not technically-oriented, and arise from improper triage, indecisive team leadership and failed recognition of evolving life-threatening injury. Team simulations frequently utilize high-fidelity mannequins to present physiologic and traumatic maladies to a multidisciplinary team. Virtual reality and live tissue simulations provide increased levels of engagement and are increasingly utilized for trauma team and leadership training.
</t>
    </r>
    <r>
      <rPr>
        <b/>
        <sz val="12"/>
        <color theme="1"/>
        <rFont val="Calibri"/>
        <family val="2"/>
        <scheme val="minor"/>
      </rPr>
      <t xml:space="preserve">EMERGENCY MEDICAL SERVICES SIMULATION
</t>
    </r>
    <r>
      <rPr>
        <sz val="12"/>
        <color theme="1"/>
        <rFont val="Calibri"/>
        <family val="2"/>
        <scheme val="minor"/>
      </rPr>
      <t>Preparing emergency medical services (EMS) for large-scale events requires extensive planning and preparation to adequately manage patients during surge scenarios. To do this, simulated exercises have become more commonplace. Often involving multiple facets of emergency care, such as police, fire, ambulance, and hospital personnel, these sometimes massive simulation events have proven vital to the success of municipalities in addressing rare, high-acuity events like mass shootings.</t>
    </r>
  </si>
  <si>
    <t>Rep. Journal</t>
  </si>
  <si>
    <t>The (human) science of medical virtual learning environments (review)</t>
  </si>
  <si>
    <t>Does ATLS trauma training fit into Western countries: evaluation of the first 8 years of ATLS in Germany (review)</t>
  </si>
  <si>
    <t>Effect of Advanced Trauma Life Support program on medical interns' performance in simulated trauma patient management. (review)</t>
  </si>
  <si>
    <t>The nature of learning from simulation: Now I know it, now I'll do it, I'll work on that (review)</t>
  </si>
  <si>
    <t>Option with 35 articles</t>
  </si>
  <si>
    <t>Each resident was given 4 prompts to think about and reflect on while watching the video, known as a “talk
aloud.” These prompts asked learners to explain what they are seeing and thinking while watching the VR video, what they believe to be their priorities in managing care for the patient, what they find to be essential stimuli, and what they find to be distracting stimuli. After each VR viewing session, residents
participated in a semistructured interview.</t>
  </si>
  <si>
    <t>Written Evaluation Forms/Checklists</t>
  </si>
  <si>
    <t>Subjective Evaluation</t>
  </si>
  <si>
    <t>Others</t>
  </si>
  <si>
    <t>Mixed (checklists+subjective)</t>
  </si>
  <si>
    <t>Each session began with having a look at the recordings of trauma resuscitations and then listing out the tasks
(treatment skills/part I) as well as the behavioral skills (crisis management skills/part II) that we thought were important.
Each treatment task in part I was given a numerical score, depending upon the level of importance (1 for least important and 5 for most important, the omission of which would be a critical error). For example, calling out the airway findings was worth 1 point; assuring a prompt intubation when indicated was worth 5 points. Other areas considered critical include ordering blood transfusions, performing emergent thoracostomy or thoracotomy if indicated, recognizing the needs for urgent laparotomy, head computed tomography scan, or pelvic angioembolization. The highest obtainable score would be 100 points but the actual number of obtainable points will obviously vary with each resuscitation, depending upon the actual needs of real patients with various injuries and various presentations after their injuries. Next, we developed a behavior grading sheet (part II) to capture various aspects of crisis management skills (teamwork, decision making, and situation awareness). Teamwork includes such skills as task delegation and completion, communication and maintaining leadership. Decision making requires the team leader to communicate a plan, to prioritize, and to identify other options. Situation awareness is demonstrated by managing crowds and distractions, maintaining calmness, and staying vigilant. This part of the scoring process requires that the video recording be stopped at frequent intervals (every 3 minutes) and that the team leader received a check for each time the behavior was observed during the preceding minutes.We recognized that behaviors change over time during resuscitations and we wanted to capture these changes. Finally, the assessment tool allows for an overall, more subjective grade for each resuscitation (poor/fail, adequate, excellent).</t>
  </si>
  <si>
    <t xml:space="preserve">Additionally, measuring acquired knowledge immediately following the course does not provide information regarding long-term knowledge retention.
However, this study was unique in implementing trauma simulations and measuring the time elapsed to critical actions in a low-resource setting. It does not state how the time data is gathered. </t>
  </si>
  <si>
    <t>Survey in internet measuring the following topics: 
- can identify injuries more quickly
- have a more organized operative approach
- can control bleeding more quickly
- can control injuries more effectively
- more competent trauma surgeons
- more confidence
- more knowledgeable about penetrating injuries
- training is worthwhile</t>
  </si>
  <si>
    <t>Primary end point : increase between step 1 and 3 in the combined score for skills set 1 and 2: maximum score 45 points 
Secondary end point : Improvement in skill set 3 score: maximum score 15 points
Evaluation criteria created and validated by the medical team at the Grenoble Univeristy in accordance with the national and official teaching program.</t>
  </si>
  <si>
    <t>Variables analyzed: agen, gender, mechanism of injury, blunt or penetrating, time to intervention.</t>
  </si>
  <si>
    <t>Participants are assessed against 6–10 critical clinical treatment decisions and a further 6–14 observed manoeuvres or decisions, which are scenario dependent. For this feasibility study,  a modified form was created using the principles of the ATLS template and approved as being fit for purpose by two ATLS instructors and Emergency Medicine Consultants. Scenarios were observed and independently/blindly assessed in real time by an ATLS instructor and course director (NB)and ATLS provider (DC). Non-technical skills were independently/blindly assessed
by a human factors expert(NS)and ATLS instructor and course director (NB) using the recently validated Trauma NOTECHS scale (T-NOTECHS).</t>
  </si>
  <si>
    <t>Pretraining and posttraining assessments that measured competence over the program's 10 core topics. 
Six months post training surveys to obtain feedback wrt trainees' experiences and interest in attending refresher training courses.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</si>
</sst>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
      <b/>
      <sz val="12"/>
      <color rgb="FF0070C0"/>
      <name val="Calibri (Cuerpo)"/>
    </font>
    <font>
      <sz val="12"/>
      <color rgb="FFFF0000"/>
      <name val="Calibri (Cuerpo)"/>
    </font>
    <font>
      <b/>
      <sz val="12"/>
      <color rgb="FFFF0000"/>
      <name val="Calibri (Cuerpo)"/>
    </font>
    <font>
      <sz val="12"/>
      <color theme="1"/>
      <name val="Calibri (Cuerpo)"/>
    </font>
    <font>
      <b/>
      <sz val="18"/>
      <color theme="1"/>
      <name val="Calibri"/>
      <family val="2"/>
      <scheme val="minor"/>
    </font>
    <font>
      <b/>
      <sz val="14"/>
      <color theme="1"/>
      <name val="Calibri (Cuerpo)"/>
    </font>
    <font>
      <sz val="12"/>
      <color rgb="FF333333"/>
      <name val="Calibri"/>
      <family val="2"/>
      <scheme val="minor"/>
    </font>
    <font>
      <b/>
      <sz val="12"/>
      <color rgb="FFFF0000"/>
      <name val="Calibri"/>
      <family val="2"/>
      <scheme val="minor"/>
    </font>
    <font>
      <u/>
      <sz val="12"/>
      <color theme="1"/>
      <name val="Calibri (Cuerpo)"/>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9" tint="0.59999389629810485"/>
        <bgColor indexed="64"/>
      </patternFill>
    </fill>
    <fill>
      <patternFill patternType="solid">
        <fgColor theme="5" tint="0.5999938962981048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17" fontId="0" fillId="0" borderId="0" xfId="0" applyNumberFormat="1"/>
    <xf numFmtId="0" fontId="0" fillId="0" borderId="0" xfId="0" applyAlignment="1">
      <alignment wrapText="1"/>
    </xf>
    <xf numFmtId="0" fontId="18" fillId="0" borderId="0" xfId="0" applyFont="1" applyAlignment="1">
      <alignment wrapText="1"/>
    </xf>
    <xf numFmtId="0" fontId="18" fillId="0" borderId="0" xfId="0" applyFont="1"/>
    <xf numFmtId="0" fontId="0" fillId="0" borderId="0" xfId="0" applyFill="1" applyAlignment="1">
      <alignment wrapText="1"/>
    </xf>
    <xf numFmtId="0" fontId="0" fillId="33" borderId="0" xfId="0" applyFill="1" applyAlignment="1">
      <alignment wrapText="1"/>
    </xf>
    <xf numFmtId="0" fontId="0" fillId="0" borderId="0" xfId="0" applyAlignment="1">
      <alignment vertical="center" wrapText="1"/>
    </xf>
    <xf numFmtId="0" fontId="18" fillId="0" borderId="0" xfId="0" applyFont="1" applyAlignment="1">
      <alignment vertical="center" wrapText="1"/>
    </xf>
    <xf numFmtId="0" fontId="0" fillId="0" borderId="0" xfId="0" applyFill="1" applyAlignment="1">
      <alignment vertical="center" wrapText="1"/>
    </xf>
    <xf numFmtId="0" fontId="0" fillId="34" borderId="0" xfId="0" applyFill="1" applyAlignment="1">
      <alignment wrapText="1"/>
    </xf>
    <xf numFmtId="0" fontId="0" fillId="34" borderId="0" xfId="0" applyFill="1" applyAlignment="1">
      <alignment vertical="center" wrapText="1"/>
    </xf>
    <xf numFmtId="0" fontId="0" fillId="34" borderId="0" xfId="0" applyFill="1"/>
    <xf numFmtId="0" fontId="0" fillId="33" borderId="0" xfId="0" applyFill="1" applyAlignment="1">
      <alignment vertical="center" wrapText="1"/>
    </xf>
    <xf numFmtId="0" fontId="0" fillId="33" borderId="0" xfId="0" applyFill="1"/>
    <xf numFmtId="0" fontId="16" fillId="33" borderId="0" xfId="0" applyFont="1" applyFill="1" applyAlignment="1">
      <alignment vertical="center" wrapText="1"/>
    </xf>
    <xf numFmtId="0" fontId="16" fillId="0" borderId="0" xfId="0" applyFont="1" applyAlignment="1">
      <alignment vertical="center" wrapText="1"/>
    </xf>
    <xf numFmtId="0" fontId="23" fillId="0" borderId="0" xfId="0" applyFont="1"/>
    <xf numFmtId="0" fontId="0" fillId="0" borderId="0" xfId="0" applyFont="1" applyAlignment="1">
      <alignment vertical="center" wrapText="1"/>
    </xf>
    <xf numFmtId="0" fontId="0" fillId="33" borderId="0" xfId="0" applyFont="1" applyFill="1" applyAlignment="1">
      <alignment vertical="center" wrapText="1"/>
    </xf>
    <xf numFmtId="0" fontId="0" fillId="0" borderId="10" xfId="0" applyBorder="1"/>
    <xf numFmtId="0" fontId="0" fillId="0" borderId="11" xfId="0" applyBorder="1"/>
    <xf numFmtId="0" fontId="23" fillId="0" borderId="11" xfId="0" applyFont="1" applyBorder="1"/>
    <xf numFmtId="0" fontId="23" fillId="0" borderId="13" xfId="0" applyFont="1" applyBorder="1"/>
    <xf numFmtId="0" fontId="23" fillId="0" borderId="14" xfId="0" applyFont="1" applyBorder="1"/>
    <xf numFmtId="0" fontId="0" fillId="0" borderId="14" xfId="0" applyBorder="1"/>
    <xf numFmtId="0" fontId="23" fillId="0" borderId="12" xfId="0" applyFont="1" applyBorder="1"/>
    <xf numFmtId="0" fontId="23" fillId="0" borderId="15" xfId="0" applyFont="1" applyBorder="1"/>
    <xf numFmtId="0" fontId="0" fillId="35" borderId="0" xfId="0" applyFill="1" applyAlignment="1">
      <alignment wrapText="1"/>
    </xf>
    <xf numFmtId="0" fontId="0" fillId="35" borderId="0" xfId="0" applyFill="1" applyAlignment="1">
      <alignment vertical="center" wrapText="1"/>
    </xf>
    <xf numFmtId="0" fontId="0" fillId="35" borderId="0" xfId="0" applyFill="1"/>
    <xf numFmtId="0" fontId="25" fillId="0" borderId="0" xfId="0" applyFont="1"/>
    <xf numFmtId="0" fontId="0" fillId="0" borderId="16" xfId="0" applyFill="1" applyBorder="1"/>
    <xf numFmtId="0" fontId="23" fillId="0" borderId="0" xfId="0" applyFont="1" applyFill="1" applyBorder="1"/>
    <xf numFmtId="0" fontId="21" fillId="35" borderId="0" xfId="0" applyFont="1" applyFill="1" applyAlignment="1">
      <alignment wrapText="1"/>
    </xf>
    <xf numFmtId="0" fontId="26" fillId="0" borderId="0" xfId="0" applyFont="1" applyAlignment="1">
      <alignment wrapText="1"/>
    </xf>
    <xf numFmtId="0" fontId="16" fillId="0" borderId="11" xfId="0" applyFont="1" applyBorder="1"/>
    <xf numFmtId="0" fontId="0" fillId="0" borderId="0" xfId="0" applyBorder="1"/>
    <xf numFmtId="0" fontId="16" fillId="0" borderId="0" xfId="0" applyFont="1" applyBorder="1"/>
    <xf numFmtId="0" fontId="23" fillId="0" borderId="0" xfId="0" applyFont="1" applyBorder="1"/>
    <xf numFmtId="0" fontId="0" fillId="0" borderId="0" xfId="0" applyFill="1"/>
    <xf numFmtId="0" fontId="21" fillId="0" borderId="0" xfId="0" applyFont="1" applyFill="1" applyAlignment="1">
      <alignment wrapText="1"/>
    </xf>
    <xf numFmtId="0" fontId="18" fillId="0" borderId="0" xfId="0" applyFont="1" applyAlignment="1"/>
    <xf numFmtId="0" fontId="18" fillId="0" borderId="0" xfId="0" applyFont="1" applyBorder="1" applyAlignment="1"/>
    <xf numFmtId="0" fontId="14" fillId="34" borderId="0" xfId="0" applyFont="1" applyFill="1" applyAlignment="1">
      <alignment wrapText="1"/>
    </xf>
    <xf numFmtId="0" fontId="18" fillId="0" borderId="0" xfId="0" applyFont="1" applyAlignment="1">
      <alignment horizont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s>
  <tableStyles count="0" defaultTableStyle="TableStyleMedium2" defaultPivotStyle="PivotStyleLight16"/>
  <colors>
    <mruColors>
      <color rgb="FFFF8AD8"/>
      <color rgb="FFFF8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1</xdr:row>
      <xdr:rowOff>292100</xdr:rowOff>
    </xdr:from>
    <xdr:to>
      <xdr:col>5</xdr:col>
      <xdr:colOff>139700</xdr:colOff>
      <xdr:row>18</xdr:row>
      <xdr:rowOff>190500</xdr:rowOff>
    </xdr:to>
    <xdr:pic>
      <xdr:nvPicPr>
        <xdr:cNvPr id="30" name="Imagen 29">
          <a:extLst>
            <a:ext uri="{FF2B5EF4-FFF2-40B4-BE49-F238E27FC236}">
              <a16:creationId xmlns:a16="http://schemas.microsoft.com/office/drawing/2014/main" id="{272C4513-66C8-B342-83B5-BBB1788D98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0" y="495300"/>
          <a:ext cx="5384800" cy="3556000"/>
        </a:xfrm>
        <a:prstGeom prst="rect">
          <a:avLst/>
        </a:prstGeom>
      </xdr:spPr>
    </xdr:pic>
    <xdr:clientData/>
  </xdr:twoCellAnchor>
  <xdr:twoCellAnchor editAs="oneCell">
    <xdr:from>
      <xdr:col>5</xdr:col>
      <xdr:colOff>431800</xdr:colOff>
      <xdr:row>2</xdr:row>
      <xdr:rowOff>25400</xdr:rowOff>
    </xdr:from>
    <xdr:to>
      <xdr:col>12</xdr:col>
      <xdr:colOff>38100</xdr:colOff>
      <xdr:row>19</xdr:row>
      <xdr:rowOff>25400</xdr:rowOff>
    </xdr:to>
    <xdr:pic>
      <xdr:nvPicPr>
        <xdr:cNvPr id="32" name="Imagen 31">
          <a:extLst>
            <a:ext uri="{FF2B5EF4-FFF2-40B4-BE49-F238E27FC236}">
              <a16:creationId xmlns:a16="http://schemas.microsoft.com/office/drawing/2014/main" id="{73D5F880-9123-4146-B0A4-04A1ED5A05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7400" y="533400"/>
          <a:ext cx="5384800" cy="3556000"/>
        </a:xfrm>
        <a:prstGeom prst="rect">
          <a:avLst/>
        </a:prstGeom>
      </xdr:spPr>
    </xdr:pic>
    <xdr:clientData/>
  </xdr:twoCellAnchor>
  <xdr:twoCellAnchor editAs="oneCell">
    <xdr:from>
      <xdr:col>12</xdr:col>
      <xdr:colOff>190500</xdr:colOff>
      <xdr:row>2</xdr:row>
      <xdr:rowOff>25400</xdr:rowOff>
    </xdr:from>
    <xdr:to>
      <xdr:col>18</xdr:col>
      <xdr:colOff>622300</xdr:colOff>
      <xdr:row>19</xdr:row>
      <xdr:rowOff>25400</xdr:rowOff>
    </xdr:to>
    <xdr:pic>
      <xdr:nvPicPr>
        <xdr:cNvPr id="34" name="Imagen 33">
          <a:extLst>
            <a:ext uri="{FF2B5EF4-FFF2-40B4-BE49-F238E27FC236}">
              <a16:creationId xmlns:a16="http://schemas.microsoft.com/office/drawing/2014/main" id="{12086A7E-3912-9D48-9939-163544D6503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04600" y="533400"/>
          <a:ext cx="5384800" cy="3556000"/>
        </a:xfrm>
        <a:prstGeom prst="rect">
          <a:avLst/>
        </a:prstGeom>
      </xdr:spPr>
    </xdr:pic>
    <xdr:clientData/>
  </xdr:twoCellAnchor>
  <xdr:twoCellAnchor editAs="oneCell">
    <xdr:from>
      <xdr:col>0</xdr:col>
      <xdr:colOff>215900</xdr:colOff>
      <xdr:row>18</xdr:row>
      <xdr:rowOff>165100</xdr:rowOff>
    </xdr:from>
    <xdr:to>
      <xdr:col>5</xdr:col>
      <xdr:colOff>165100</xdr:colOff>
      <xdr:row>36</xdr:row>
      <xdr:rowOff>63500</xdr:rowOff>
    </xdr:to>
    <xdr:pic>
      <xdr:nvPicPr>
        <xdr:cNvPr id="36" name="Imagen 35">
          <a:extLst>
            <a:ext uri="{FF2B5EF4-FFF2-40B4-BE49-F238E27FC236}">
              <a16:creationId xmlns:a16="http://schemas.microsoft.com/office/drawing/2014/main" id="{7D06B514-02A1-6246-A9B6-3B26D01796B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15900" y="4025900"/>
          <a:ext cx="5384800" cy="3556000"/>
        </a:xfrm>
        <a:prstGeom prst="rect">
          <a:avLst/>
        </a:prstGeom>
      </xdr:spPr>
    </xdr:pic>
    <xdr:clientData/>
  </xdr:twoCellAnchor>
  <xdr:twoCellAnchor editAs="oneCell">
    <xdr:from>
      <xdr:col>5</xdr:col>
      <xdr:colOff>431800</xdr:colOff>
      <xdr:row>18</xdr:row>
      <xdr:rowOff>165100</xdr:rowOff>
    </xdr:from>
    <xdr:to>
      <xdr:col>12</xdr:col>
      <xdr:colOff>38100</xdr:colOff>
      <xdr:row>36</xdr:row>
      <xdr:rowOff>63500</xdr:rowOff>
    </xdr:to>
    <xdr:pic>
      <xdr:nvPicPr>
        <xdr:cNvPr id="38" name="Imagen 37">
          <a:extLst>
            <a:ext uri="{FF2B5EF4-FFF2-40B4-BE49-F238E27FC236}">
              <a16:creationId xmlns:a16="http://schemas.microsoft.com/office/drawing/2014/main" id="{7B0B109C-B456-C740-A9CD-A79012C900C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867400" y="4025900"/>
          <a:ext cx="5384800" cy="3556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lanca.larraga@upm.es" id="{BD02379B-A4F3-2242-B207-9065456D635F}" userId="S::blanca.larraga@upm.es::e3ed2515-7990-4ad2-bde0-1119699aeba0"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3" dT="2021-05-28T06:56:31.44" personId="{BD02379B-A4F3-2242-B207-9065456D635F}" id="{1F74FDDB-F294-2B40-9C29-1131DA1BC488}">
    <text xml:space="preserve">Reviews: 17
OutofScope: 13
</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5-19T10:34:16.28" personId="{BD02379B-A4F3-2242-B207-9065456D635F}" id="{576FA16B-B86A-DA4F-8E70-12CEAA3CAFE4}">
    <text xml:space="preserve">It considers different simulation training methods reviewing current techcniques and its role in different roles and skills.
</text>
  </threadedComment>
  <threadedComment ref="A18" dT="2021-05-20T08:06:19.01" personId="{BD02379B-A4F3-2242-B207-9065456D635F}" id="{FA30E827-BA11-6E40-8B13-A9C7C0F1E9D2}">
    <text>Focus on management: teamwork, leadership, communication skills</text>
  </threadedComment>
  <threadedComment ref="A19" dT="2021-05-19T08:14:17.57" personId="{BD02379B-A4F3-2242-B207-9065456D635F}" id="{B8BF2A9B-23F4-6447-AD83-4F388CFAEAD6}">
    <text>Se centra en decision making más que en entrenamiento de skills y da puntuación al equipo; no sé si sacarlo puesto que veo que se centra más en teamwork y eso lo hemos sacado….</text>
  </threadedComment>
  <threadedComment ref="A21" dT="2021-05-20T09:40:40.16" personId="{BD02379B-A4F3-2242-B207-9065456D635F}" id="{7AE3867B-35D0-7A47-86AA-1C34F28B67A8}">
    <text xml:space="preserve">It is not strictly a simulation technique and it focuses on a specific maneuver and infrastructure issues </text>
  </threadedComment>
  <threadedComment ref="A24" dT="2021-05-20T10:05:46.63" personId="{BD02379B-A4F3-2242-B207-9065456D635F}" id="{9C4D1636-D09D-D149-B10C-1341A112B2E9}">
    <text>ES UN ARTÍCULO DE REVISIÓN QUE COMENTA TODOS LOS TIPOS DE SIMULACIONES QUE HAY CON SUS PROS-CONS</text>
  </threadedComment>
  <threadedComment ref="A25" dT="2021-05-20T10:16:18.87" personId="{BD02379B-A4F3-2242-B207-9065456D635F}" id="{85D8429D-0AD5-5A43-B53F-90503686B877}">
    <text>Quitar puesto que no se centra en simulación y aprendizaje en trauma si no que es un artículo más conceptual acerca de qué se podría hacer para llegar a tener ninguna muerte por causas que se podrían haber gestionado.</text>
  </threadedComment>
  <threadedComment ref="A26" dT="2021-05-20T10:23:33.04" personId="{BD02379B-A4F3-2242-B207-9065456D635F}" id="{784594D1-D5C8-8C4C-AD88-8F699253D69C}">
    <text>It is not focused on trauma training but there is a case study which presents an interactive trauma trainer.</text>
  </threadedComment>
  <threadedComment ref="A31" dT="2021-05-19T08:14:59.41" personId="{BD02379B-A4F3-2242-B207-9065456D635F}" id="{1A1FF6F1-0D15-1D43-AEBB-F7AE618C2505}">
    <text>Lo quitaría también de la lista de artículos incluidos puesto que es la evaluación del ATLS pero no una forma concreta de simulación que permite evaluar la mejora de las competencias de manejo del trauma.</text>
  </threadedComment>
  <threadedComment ref="A37" dT="2021-05-20T14:52:44.38" personId="{BD02379B-A4F3-2242-B207-9065456D635F}" id="{558D4EF9-0517-8044-B67D-EEEF03579935}">
    <text>One page article describing simulation in general in trauma apart from ATLS.</text>
  </threadedComment>
  <threadedComment ref="A42" dT="2021-05-20T16:27:42.63" personId="{BD02379B-A4F3-2242-B207-9065456D635F}" id="{BED88027-049C-8943-BDCB-AC166C2C45EA}">
    <text xml:space="preserve">Highlights different simulation techniques in trauma training but not any specific study.
</text>
  </threadedComment>
  <threadedComment ref="A46" dT="2021-05-19T08:16:35.31" personId="{BD02379B-A4F3-2242-B207-9065456D635F}" id="{98CAB881-6BFA-9A49-8FD9-838A5578F113}">
    <text>¿Debería eliminarlo por tratar la simulación pero de dos técnicas muy concretas? Lo proponen como general sólo que lo materializan con dos técnicas….. tengo dudas.</text>
  </threadedComment>
  <threadedComment ref="A48" dT="2021-05-21T08:30:21.24" personId="{BD02379B-A4F3-2242-B207-9065456D635F}" id="{6F7F9F78-CB76-7A42-914A-34A8DA5B42C5}">
    <text>Highlights different simulation techniques in trauma training but not any specific study.</text>
  </threadedComment>
  <threadedComment ref="A50" dT="2021-05-21T09:31:35.99" personId="{BD02379B-A4F3-2242-B207-9065456D635F}" id="{A233B95E-7519-D340-87E4-3D96E72CF56D}">
    <text>This study focuses on analyzing the effect of ATLS training before and after attending it and how to evaluate the performance.</text>
  </threadedComment>
  <threadedComment ref="A53" dT="2021-05-21T12:48:09.82" personId="{BD02379B-A4F3-2242-B207-9065456D635F}" id="{6B781AF9-2341-514D-A0DD-4B91F9A7BD58}">
    <text>Training more focused on injury identification, prevention… injury in general.</text>
  </threadedComment>
  <threadedComment ref="A54" dT="2021-05-21T12:49:33.97" personId="{BD02379B-A4F3-2242-B207-9065456D635F}" id="{56B844C5-BE7A-9A45-9687-9D223E2838CF}">
    <text>Focus on the military field.</text>
  </threadedComment>
  <threadedComment ref="A57" dT="2021-05-26T13:59:51.81" personId="{BD02379B-A4F3-2242-B207-9065456D635F}" id="{8855FD41-BCBC-7F4A-BE8A-D650ED9E77DD}">
    <text xml:space="preserve">Article not available, requested to the authors but not answer has been received. </text>
  </threadedComment>
  <threadedComment ref="A59" dT="2021-05-26T14:42:08.21" personId="{BD02379B-A4F3-2242-B207-9065456D635F}" id="{254FAF5D-0956-9B4F-B21A-0F5005BD86C4}">
    <text>No sé si quitarlo puesto que se centra en la naturaleza del aprendizaje más que del aprendizaje de skills concretamente.</text>
  </threadedComment>
  <threadedComment ref="A61" dT="2021-05-27T08:02:37.80" personId="{BD02379B-A4F3-2242-B207-9065456D635F}" id="{A21B1E9F-7550-FF49-99F5-27F43625B92F}">
    <text>It is not an article but a letter to the editor of just 400 words.</text>
  </threadedComment>
</ThreadedComments>
</file>

<file path=xl/threadedComments/threadedComment3.xml><?xml version="1.0" encoding="utf-8"?>
<ThreadedComments xmlns="http://schemas.microsoft.com/office/spreadsheetml/2018/threadedcomments" xmlns:x="http://schemas.openxmlformats.org/spreadsheetml/2006/main">
  <threadedComment ref="A8" dT="2021-05-20T08:06:19.01" personId="{BD02379B-A4F3-2242-B207-9065456D635F}" id="{68B5BFD1-6457-0543-98E4-603AF1F786EE}">
    <text>Focus on management: teamwork, leadership, communication skills</text>
  </threadedComment>
  <threadedComment ref="A9" dT="2021-05-19T08:14:17.57" personId="{BD02379B-A4F3-2242-B207-9065456D635F}" id="{1709B023-3617-6C4C-A5BB-BC44BE58F01A}">
    <text>Se centra en decision making más que en entrenamiento de skills y da puntuación al equipo; no sé si sacarlo puesto que veo que se centra más en teamwork y eso lo hemos sacado….</text>
  </threadedComment>
  <threadedComment ref="A11" dT="2021-05-20T09:40:40.16" personId="{BD02379B-A4F3-2242-B207-9065456D635F}" id="{CA238220-9357-3E44-A99F-35D06CB0EE44}">
    <text xml:space="preserve">It is not strictly a simulation technique and it focuses on a specific maneuver and infrastructure issues </text>
  </threadedComment>
  <threadedComment ref="A14" dT="2021-05-20T10:23:33.04" personId="{BD02379B-A4F3-2242-B207-9065456D635F}" id="{0BC4AEF5-7BF3-7744-95B5-EBBED84F3288}">
    <text>It is not focused on trauma training but there is a case study which presents an interactive trauma trainer.</text>
  </threadedComment>
  <threadedComment ref="A18" dT="2021-05-19T08:14:59.41" personId="{BD02379B-A4F3-2242-B207-9065456D635F}" id="{D7DEA603-C3DA-FC4B-8238-957680B4F07F}">
    <text>Lo quitaría también de la lista de artículos incluidos puesto que es la evaluación del ATLS pero no una forma concreta de simulación que permite evaluar la mejora de las competencias de manejo del trauma.</text>
  </threadedComment>
  <threadedComment ref="A30" dT="2021-05-19T08:16:35.31" personId="{BD02379B-A4F3-2242-B207-9065456D635F}" id="{1BF010B2-D487-5144-B79E-ABC2816A0AAF}">
    <text>¿Debería eliminarlo por tratar la simulación pero de dos técnicas muy concretas? Lo proponen como general sólo que lo materializan con dos técnicas….. tengo dudas.</text>
  </threadedComment>
  <threadedComment ref="A33" dT="2021-05-21T09:31:35.99" personId="{BD02379B-A4F3-2242-B207-9065456D635F}" id="{929F1803-4211-DD4F-B261-E2BCA3A2C570}">
    <text>This study focuses on analyzing the effect of ATLS training before and after attending it and how to evaluate the performance.</text>
  </threadedComment>
  <threadedComment ref="A39" dT="2021-05-26T14:42:08.21" personId="{BD02379B-A4F3-2242-B207-9065456D635F}" id="{70408334-8EFF-3F4E-8B41-73407B9C3D49}">
    <text>No sé si quitarlo puesto que se centra en la naturaleza del aprendizaje más que del aprendizaje de skills concretamente.</text>
  </threadedComment>
</ThreadedComments>
</file>

<file path=xl/threadedComments/threadedComment4.xml><?xml version="1.0" encoding="utf-8"?>
<ThreadedComments xmlns="http://schemas.microsoft.com/office/spreadsheetml/2018/threadedcomments" xmlns:x="http://schemas.openxmlformats.org/spreadsheetml/2006/main">
  <threadedComment ref="A8" dT="2021-05-19T08:14:17.57" personId="{BD02379B-A4F3-2242-B207-9065456D635F}" id="{94D093C9-40C7-F34A-83FF-A970A4895207}">
    <text>Se centra en decision making más que en entrenamiento de skills y da puntuación al equipo; no sé si sacarlo puesto que veo que se centra más en teamwork y eso lo hemos sacado….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764B6-BDB7-A14B-A11F-211C9E3A7B3F}">
  <dimension ref="A1:M33"/>
  <sheetViews>
    <sheetView zoomScale="140" zoomScaleNormal="140" workbookViewId="0">
      <selection activeCell="B7" sqref="B7"/>
    </sheetView>
  </sheetViews>
  <sheetFormatPr baseColWidth="10" defaultRowHeight="16" x14ac:dyDescent="0.2"/>
  <cols>
    <col min="1" max="1" width="22.33203125" customWidth="1"/>
    <col min="4" max="4" width="14.1640625" customWidth="1"/>
    <col min="5" max="5" width="11.5" bestFit="1" customWidth="1"/>
    <col min="6" max="6" width="4" customWidth="1"/>
    <col min="7" max="7" width="36" customWidth="1"/>
    <col min="9" max="9" width="4.33203125" customWidth="1"/>
    <col min="10" max="10" width="33.5" bestFit="1" customWidth="1"/>
    <col min="11" max="11" width="20.1640625" bestFit="1" customWidth="1"/>
    <col min="12" max="12" width="26.5" bestFit="1" customWidth="1"/>
  </cols>
  <sheetData>
    <row r="1" spans="1:13" x14ac:dyDescent="0.2">
      <c r="B1" t="s">
        <v>510</v>
      </c>
      <c r="D1" s="31" t="s">
        <v>614</v>
      </c>
      <c r="J1" t="s">
        <v>616</v>
      </c>
    </row>
    <row r="2" spans="1:13" x14ac:dyDescent="0.2">
      <c r="A2" t="s">
        <v>509</v>
      </c>
      <c r="B2">
        <v>1617</v>
      </c>
      <c r="D2" s="31" t="s">
        <v>615</v>
      </c>
    </row>
    <row r="3" spans="1:13" x14ac:dyDescent="0.2">
      <c r="A3" t="s">
        <v>511</v>
      </c>
      <c r="B3">
        <v>7</v>
      </c>
      <c r="D3" s="31"/>
    </row>
    <row r="4" spans="1:13" ht="17" thickBot="1" x14ac:dyDescent="0.25">
      <c r="A4" t="s">
        <v>512</v>
      </c>
      <c r="B4">
        <f>B2-B3</f>
        <v>1610</v>
      </c>
      <c r="D4" s="31"/>
    </row>
    <row r="5" spans="1:13" ht="24" x14ac:dyDescent="0.3">
      <c r="D5" s="20"/>
      <c r="E5" s="21"/>
      <c r="F5" s="21"/>
      <c r="G5" s="22" t="s">
        <v>613</v>
      </c>
      <c r="H5" s="26" t="s">
        <v>512</v>
      </c>
      <c r="I5" s="32"/>
      <c r="J5" s="33"/>
      <c r="K5" s="33"/>
      <c r="L5" s="33"/>
      <c r="M5" s="33"/>
    </row>
    <row r="6" spans="1:13" ht="25" thickBot="1" x14ac:dyDescent="0.35">
      <c r="B6">
        <f>B4-E6</f>
        <v>1490</v>
      </c>
      <c r="D6" s="23" t="s">
        <v>512</v>
      </c>
      <c r="E6" s="24">
        <f>B4-B33-E21-H9-K13</f>
        <v>120</v>
      </c>
      <c r="F6" s="25"/>
      <c r="G6" s="24">
        <f>47+8</f>
        <v>55</v>
      </c>
      <c r="H6" s="27">
        <f>E6-G6</f>
        <v>65</v>
      </c>
      <c r="I6" s="32"/>
      <c r="J6" s="33"/>
      <c r="K6" s="33"/>
      <c r="L6" s="33"/>
      <c r="M6" s="33"/>
    </row>
    <row r="8" spans="1:13" ht="24" x14ac:dyDescent="0.3">
      <c r="A8" s="17" t="s">
        <v>513</v>
      </c>
    </row>
    <row r="9" spans="1:13" x14ac:dyDescent="0.2">
      <c r="A9" t="s">
        <v>514</v>
      </c>
      <c r="B9">
        <v>76</v>
      </c>
      <c r="D9" t="s">
        <v>537</v>
      </c>
      <c r="E9">
        <v>7</v>
      </c>
      <c r="G9" t="s">
        <v>549</v>
      </c>
      <c r="H9">
        <v>310</v>
      </c>
      <c r="J9" t="s">
        <v>550</v>
      </c>
      <c r="K9">
        <v>455</v>
      </c>
    </row>
    <row r="10" spans="1:13" x14ac:dyDescent="0.2">
      <c r="A10" t="s">
        <v>515</v>
      </c>
      <c r="B10">
        <v>34</v>
      </c>
      <c r="D10" t="s">
        <v>538</v>
      </c>
      <c r="E10">
        <v>29</v>
      </c>
      <c r="J10" t="s">
        <v>551</v>
      </c>
      <c r="K10">
        <v>15</v>
      </c>
    </row>
    <row r="11" spans="1:13" x14ac:dyDescent="0.2">
      <c r="A11" t="s">
        <v>516</v>
      </c>
      <c r="B11">
        <v>48</v>
      </c>
      <c r="D11" t="s">
        <v>548</v>
      </c>
      <c r="E11">
        <v>70</v>
      </c>
      <c r="J11" t="s">
        <v>552</v>
      </c>
      <c r="K11">
        <v>6</v>
      </c>
    </row>
    <row r="12" spans="1:13" x14ac:dyDescent="0.2">
      <c r="A12" t="s">
        <v>517</v>
      </c>
      <c r="B12">
        <v>10</v>
      </c>
      <c r="D12" t="s">
        <v>539</v>
      </c>
      <c r="E12">
        <v>45</v>
      </c>
      <c r="J12" t="s">
        <v>553</v>
      </c>
      <c r="K12">
        <v>2</v>
      </c>
    </row>
    <row r="13" spans="1:13" x14ac:dyDescent="0.2">
      <c r="A13" t="s">
        <v>518</v>
      </c>
      <c r="B13">
        <v>6</v>
      </c>
      <c r="D13" t="s">
        <v>540</v>
      </c>
      <c r="E13">
        <v>5</v>
      </c>
      <c r="J13" t="s">
        <v>512</v>
      </c>
      <c r="K13">
        <f>SUM(K9:K12)</f>
        <v>478</v>
      </c>
    </row>
    <row r="14" spans="1:13" x14ac:dyDescent="0.2">
      <c r="A14" t="s">
        <v>519</v>
      </c>
      <c r="B14">
        <v>25</v>
      </c>
      <c r="D14" t="s">
        <v>541</v>
      </c>
      <c r="E14">
        <v>1</v>
      </c>
    </row>
    <row r="15" spans="1:13" x14ac:dyDescent="0.2">
      <c r="A15" t="s">
        <v>520</v>
      </c>
      <c r="B15">
        <v>14</v>
      </c>
      <c r="D15" t="s">
        <v>542</v>
      </c>
      <c r="E15">
        <v>2</v>
      </c>
    </row>
    <row r="16" spans="1:13" x14ac:dyDescent="0.2">
      <c r="A16" t="s">
        <v>521</v>
      </c>
      <c r="B16">
        <v>20</v>
      </c>
      <c r="D16" t="s">
        <v>543</v>
      </c>
      <c r="E16">
        <v>1</v>
      </c>
    </row>
    <row r="17" spans="1:8" x14ac:dyDescent="0.2">
      <c r="A17" t="s">
        <v>522</v>
      </c>
      <c r="B17">
        <v>4</v>
      </c>
      <c r="D17" t="s">
        <v>544</v>
      </c>
      <c r="E17">
        <v>2</v>
      </c>
    </row>
    <row r="18" spans="1:8" x14ac:dyDescent="0.2">
      <c r="A18" t="s">
        <v>523</v>
      </c>
      <c r="B18">
        <v>2</v>
      </c>
      <c r="D18" t="s">
        <v>545</v>
      </c>
      <c r="E18">
        <v>10</v>
      </c>
    </row>
    <row r="19" spans="1:8" x14ac:dyDescent="0.2">
      <c r="A19" t="s">
        <v>524</v>
      </c>
      <c r="B19">
        <v>98</v>
      </c>
      <c r="D19" t="s">
        <v>546</v>
      </c>
      <c r="E19">
        <v>2</v>
      </c>
    </row>
    <row r="20" spans="1:8" x14ac:dyDescent="0.2">
      <c r="A20" t="s">
        <v>525</v>
      </c>
      <c r="B20">
        <v>14</v>
      </c>
      <c r="D20" t="s">
        <v>547</v>
      </c>
      <c r="E20">
        <v>15</v>
      </c>
    </row>
    <row r="21" spans="1:8" x14ac:dyDescent="0.2">
      <c r="A21" t="s">
        <v>526</v>
      </c>
      <c r="B21">
        <v>20</v>
      </c>
      <c r="D21" t="s">
        <v>512</v>
      </c>
      <c r="E21">
        <f>SUM(E9:E20)</f>
        <v>189</v>
      </c>
    </row>
    <row r="22" spans="1:8" ht="17" thickBot="1" x14ac:dyDescent="0.25">
      <c r="A22" t="s">
        <v>527</v>
      </c>
      <c r="B22">
        <v>24</v>
      </c>
    </row>
    <row r="23" spans="1:8" ht="24" x14ac:dyDescent="0.3">
      <c r="A23" t="s">
        <v>528</v>
      </c>
      <c r="B23">
        <v>16</v>
      </c>
      <c r="D23" s="20"/>
      <c r="E23" s="21"/>
      <c r="F23" s="21"/>
      <c r="G23" s="36" t="s">
        <v>921</v>
      </c>
      <c r="H23" s="26" t="s">
        <v>512</v>
      </c>
    </row>
    <row r="24" spans="1:8" ht="25" thickBot="1" x14ac:dyDescent="0.35">
      <c r="A24" t="s">
        <v>529</v>
      </c>
      <c r="B24">
        <v>5</v>
      </c>
      <c r="D24" s="23" t="s">
        <v>512</v>
      </c>
      <c r="E24" s="24">
        <v>65</v>
      </c>
      <c r="F24" s="25"/>
      <c r="G24" s="24">
        <f>17+13</f>
        <v>30</v>
      </c>
      <c r="H24" s="27">
        <f>E24-G24</f>
        <v>35</v>
      </c>
    </row>
    <row r="25" spans="1:8" x14ac:dyDescent="0.2">
      <c r="A25" t="s">
        <v>617</v>
      </c>
      <c r="B25">
        <v>44</v>
      </c>
    </row>
    <row r="26" spans="1:8" x14ac:dyDescent="0.2">
      <c r="A26" t="s">
        <v>530</v>
      </c>
      <c r="B26">
        <v>4</v>
      </c>
      <c r="D26" s="37"/>
      <c r="E26" s="37"/>
      <c r="F26" s="37"/>
      <c r="G26" s="37"/>
      <c r="H26" s="37"/>
    </row>
    <row r="27" spans="1:8" ht="24" x14ac:dyDescent="0.3">
      <c r="A27" t="s">
        <v>531</v>
      </c>
      <c r="B27">
        <v>3</v>
      </c>
      <c r="D27" s="37"/>
      <c r="E27" s="37"/>
      <c r="F27" s="37"/>
      <c r="G27" s="38"/>
      <c r="H27" s="39"/>
    </row>
    <row r="28" spans="1:8" ht="24" x14ac:dyDescent="0.3">
      <c r="A28" t="s">
        <v>532</v>
      </c>
      <c r="B28">
        <v>1</v>
      </c>
      <c r="D28" s="39"/>
      <c r="E28" s="39"/>
      <c r="F28" s="37"/>
      <c r="G28" s="39"/>
      <c r="H28" s="39"/>
    </row>
    <row r="29" spans="1:8" x14ac:dyDescent="0.2">
      <c r="A29" t="s">
        <v>533</v>
      </c>
      <c r="B29">
        <v>9</v>
      </c>
      <c r="D29" s="37"/>
      <c r="E29" s="37"/>
      <c r="F29" s="37"/>
      <c r="G29" s="37"/>
      <c r="H29" s="37"/>
    </row>
    <row r="30" spans="1:8" x14ac:dyDescent="0.2">
      <c r="A30" t="s">
        <v>534</v>
      </c>
      <c r="B30">
        <v>25</v>
      </c>
      <c r="D30" s="37"/>
      <c r="E30" s="37"/>
      <c r="F30" s="37"/>
      <c r="G30" s="37"/>
      <c r="H30" s="37"/>
    </row>
    <row r="31" spans="1:8" x14ac:dyDescent="0.2">
      <c r="A31" t="s">
        <v>535</v>
      </c>
      <c r="B31">
        <v>10</v>
      </c>
    </row>
    <row r="32" spans="1:8" x14ac:dyDescent="0.2">
      <c r="A32" t="s">
        <v>536</v>
      </c>
      <c r="B32">
        <v>1</v>
      </c>
    </row>
    <row r="33" spans="1:2" x14ac:dyDescent="0.2">
      <c r="A33" t="s">
        <v>512</v>
      </c>
      <c r="B33">
        <f>SUM(B9:B32)</f>
        <v>513</v>
      </c>
    </row>
  </sheetData>
  <pageMargins left="0.7" right="0.7" top="0.75" bottom="0.75" header="0.3" footer="0.3"/>
  <pageSetup paperSize="9" orientation="portrait" horizontalDpi="0" verticalDpi="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8AA4C-570F-4D46-9968-C2DEF8CC65A5}">
  <sheetPr filterMode="1"/>
  <dimension ref="A1:EN123"/>
  <sheetViews>
    <sheetView topLeftCell="A6" zoomScale="120" zoomScaleNormal="120" workbookViewId="0">
      <selection activeCell="A7" sqref="A7"/>
    </sheetView>
  </sheetViews>
  <sheetFormatPr baseColWidth="10" defaultRowHeight="16" x14ac:dyDescent="0.2"/>
  <cols>
    <col min="1" max="1" width="71.33203125" style="2" customWidth="1"/>
    <col min="2" max="2" width="81" style="7" customWidth="1"/>
    <col min="3" max="3" width="19.33203125" style="2" bestFit="1" customWidth="1"/>
    <col min="4" max="5" width="19.33203125" style="2" customWidth="1"/>
    <col min="6" max="6" width="43.1640625" style="2" customWidth="1"/>
    <col min="7" max="7" width="39.5" style="2" customWidth="1"/>
    <col min="8" max="8" width="13.83203125" customWidth="1"/>
  </cols>
  <sheetData>
    <row r="1" spans="1:36" s="4" customFormat="1" ht="44" x14ac:dyDescent="0.25">
      <c r="A1" s="3" t="s">
        <v>0</v>
      </c>
      <c r="B1" s="8" t="s">
        <v>456</v>
      </c>
      <c r="C1" s="3" t="s">
        <v>460</v>
      </c>
      <c r="D1" s="3" t="s">
        <v>461</v>
      </c>
      <c r="E1" s="3" t="s">
        <v>462</v>
      </c>
      <c r="F1" s="3" t="s">
        <v>1</v>
      </c>
      <c r="G1" s="3" t="s">
        <v>2</v>
      </c>
      <c r="H1" s="4" t="s">
        <v>3</v>
      </c>
      <c r="I1" s="4" t="s">
        <v>4</v>
      </c>
      <c r="J1" s="4" t="s">
        <v>5</v>
      </c>
      <c r="K1" s="4" t="s">
        <v>6</v>
      </c>
      <c r="L1" s="4" t="s">
        <v>7</v>
      </c>
      <c r="M1" s="4" t="s">
        <v>8</v>
      </c>
      <c r="N1" s="4" t="s">
        <v>9</v>
      </c>
      <c r="O1" s="4" t="s">
        <v>10</v>
      </c>
      <c r="P1" s="4" t="s">
        <v>11</v>
      </c>
      <c r="Q1" s="4" t="s">
        <v>12</v>
      </c>
      <c r="R1" s="4" t="s">
        <v>13</v>
      </c>
      <c r="S1" s="4" t="s">
        <v>14</v>
      </c>
      <c r="T1" s="4" t="s">
        <v>15</v>
      </c>
      <c r="U1" s="4">
        <v>2008</v>
      </c>
      <c r="V1" s="4">
        <v>2009</v>
      </c>
      <c r="W1" s="4">
        <v>2010</v>
      </c>
      <c r="X1" s="4">
        <v>2011</v>
      </c>
      <c r="Y1" s="4">
        <v>2012</v>
      </c>
      <c r="Z1" s="4">
        <v>2013</v>
      </c>
      <c r="AA1" s="4">
        <v>2014</v>
      </c>
      <c r="AB1" s="4">
        <v>2015</v>
      </c>
      <c r="AC1" s="4">
        <v>2016</v>
      </c>
      <c r="AD1" s="4">
        <v>2017</v>
      </c>
      <c r="AE1" s="4">
        <v>2018</v>
      </c>
      <c r="AF1" s="4">
        <v>2019</v>
      </c>
      <c r="AG1" s="4">
        <v>2020</v>
      </c>
      <c r="AH1" s="4">
        <v>2021</v>
      </c>
    </row>
    <row r="2" spans="1:36" ht="102" x14ac:dyDescent="0.2">
      <c r="A2" s="2" t="s">
        <v>16</v>
      </c>
      <c r="B2" s="7" t="s">
        <v>440</v>
      </c>
      <c r="C2" s="2" t="s">
        <v>457</v>
      </c>
      <c r="D2" s="2" t="s">
        <v>463</v>
      </c>
      <c r="E2" s="2" t="s">
        <v>463</v>
      </c>
      <c r="F2" s="2" t="s">
        <v>17</v>
      </c>
      <c r="G2" s="2" t="s">
        <v>18</v>
      </c>
      <c r="H2">
        <v>2010</v>
      </c>
      <c r="I2">
        <v>41</v>
      </c>
      <c r="J2">
        <v>5</v>
      </c>
      <c r="M2">
        <v>444</v>
      </c>
      <c r="N2">
        <v>452</v>
      </c>
      <c r="P2" t="s">
        <v>19</v>
      </c>
      <c r="S2">
        <v>49</v>
      </c>
      <c r="T2">
        <v>4</v>
      </c>
      <c r="U2">
        <v>8</v>
      </c>
      <c r="V2">
        <v>0</v>
      </c>
      <c r="W2">
        <v>0</v>
      </c>
      <c r="X2">
        <v>4</v>
      </c>
      <c r="Y2">
        <v>5</v>
      </c>
      <c r="Z2">
        <v>5</v>
      </c>
      <c r="AA2">
        <v>4</v>
      </c>
      <c r="AB2">
        <v>5</v>
      </c>
      <c r="AC2">
        <v>3</v>
      </c>
      <c r="AD2">
        <v>5</v>
      </c>
      <c r="AE2">
        <v>4</v>
      </c>
      <c r="AF2">
        <v>5</v>
      </c>
      <c r="AG2">
        <v>4</v>
      </c>
      <c r="AH2">
        <v>3</v>
      </c>
      <c r="AI2">
        <v>2</v>
      </c>
    </row>
    <row r="3" spans="1:36" ht="306" x14ac:dyDescent="0.2">
      <c r="A3" s="2" t="s">
        <v>20</v>
      </c>
      <c r="B3" s="7" t="s">
        <v>441</v>
      </c>
      <c r="C3" s="2" t="s">
        <v>458</v>
      </c>
      <c r="D3" s="2" t="s">
        <v>457</v>
      </c>
      <c r="E3" s="2" t="s">
        <v>463</v>
      </c>
      <c r="F3" s="2" t="s">
        <v>21</v>
      </c>
      <c r="G3" s="2" t="s">
        <v>22</v>
      </c>
      <c r="H3">
        <v>2014</v>
      </c>
      <c r="I3">
        <v>22</v>
      </c>
      <c r="O3">
        <v>22</v>
      </c>
      <c r="P3" t="s">
        <v>23</v>
      </c>
      <c r="S3">
        <v>32</v>
      </c>
      <c r="T3">
        <v>4</v>
      </c>
      <c r="U3">
        <v>0</v>
      </c>
      <c r="V3">
        <v>0</v>
      </c>
      <c r="W3">
        <v>0</v>
      </c>
      <c r="X3">
        <v>0</v>
      </c>
      <c r="Y3">
        <v>0</v>
      </c>
      <c r="Z3">
        <v>0</v>
      </c>
      <c r="AA3">
        <v>1</v>
      </c>
      <c r="AB3">
        <v>1</v>
      </c>
      <c r="AC3">
        <v>4</v>
      </c>
      <c r="AD3">
        <v>13</v>
      </c>
      <c r="AE3">
        <v>7</v>
      </c>
      <c r="AF3">
        <v>3</v>
      </c>
      <c r="AG3">
        <v>2</v>
      </c>
      <c r="AH3">
        <v>1</v>
      </c>
    </row>
    <row r="4" spans="1:36" ht="408" customHeight="1" x14ac:dyDescent="0.2">
      <c r="A4" s="2" t="s">
        <v>24</v>
      </c>
      <c r="B4" s="9" t="s">
        <v>442</v>
      </c>
      <c r="C4" s="5" t="s">
        <v>458</v>
      </c>
      <c r="D4" s="5" t="s">
        <v>463</v>
      </c>
      <c r="E4" s="5" t="s">
        <v>463</v>
      </c>
      <c r="F4" s="2" t="s">
        <v>25</v>
      </c>
      <c r="G4" s="2" t="s">
        <v>26</v>
      </c>
      <c r="H4">
        <v>2013</v>
      </c>
      <c r="I4">
        <v>8</v>
      </c>
      <c r="J4">
        <v>4</v>
      </c>
      <c r="M4">
        <v>253</v>
      </c>
      <c r="N4">
        <v>261</v>
      </c>
      <c r="P4" t="s">
        <v>27</v>
      </c>
      <c r="S4">
        <v>16</v>
      </c>
      <c r="T4">
        <v>1</v>
      </c>
      <c r="U4">
        <v>78</v>
      </c>
      <c r="V4">
        <v>0</v>
      </c>
      <c r="W4">
        <v>0</v>
      </c>
      <c r="X4">
        <v>0</v>
      </c>
      <c r="Y4">
        <v>0</v>
      </c>
      <c r="Z4">
        <v>0</v>
      </c>
      <c r="AA4">
        <v>1</v>
      </c>
      <c r="AB4">
        <v>1</v>
      </c>
      <c r="AC4">
        <v>3</v>
      </c>
      <c r="AD4">
        <v>3</v>
      </c>
      <c r="AE4">
        <v>0</v>
      </c>
      <c r="AF4">
        <v>2</v>
      </c>
      <c r="AG4">
        <v>5</v>
      </c>
      <c r="AH4">
        <v>0</v>
      </c>
      <c r="AI4">
        <v>1</v>
      </c>
    </row>
    <row r="5" spans="1:36" ht="323" x14ac:dyDescent="0.2">
      <c r="A5" s="2" t="s">
        <v>28</v>
      </c>
      <c r="B5" s="7" t="s">
        <v>443</v>
      </c>
      <c r="C5" s="2" t="s">
        <v>458</v>
      </c>
      <c r="D5" s="2" t="s">
        <v>457</v>
      </c>
      <c r="E5" s="2" t="s">
        <v>463</v>
      </c>
      <c r="F5" s="2" t="s">
        <v>29</v>
      </c>
      <c r="G5" s="2" t="s">
        <v>30</v>
      </c>
      <c r="H5">
        <v>2017</v>
      </c>
      <c r="I5">
        <v>39</v>
      </c>
      <c r="J5">
        <v>6</v>
      </c>
      <c r="L5" t="s">
        <v>31</v>
      </c>
      <c r="M5">
        <v>631</v>
      </c>
      <c r="N5">
        <v>638</v>
      </c>
      <c r="P5" t="s">
        <v>32</v>
      </c>
      <c r="S5">
        <v>10</v>
      </c>
      <c r="T5">
        <v>2</v>
      </c>
      <c r="U5">
        <v>0</v>
      </c>
      <c r="V5">
        <v>0</v>
      </c>
      <c r="W5">
        <v>0</v>
      </c>
      <c r="X5">
        <v>0</v>
      </c>
      <c r="Y5">
        <v>0</v>
      </c>
      <c r="Z5">
        <v>0</v>
      </c>
      <c r="AA5">
        <v>0</v>
      </c>
      <c r="AB5">
        <v>0</v>
      </c>
      <c r="AC5">
        <v>0</v>
      </c>
      <c r="AD5">
        <v>0</v>
      </c>
      <c r="AE5">
        <v>6</v>
      </c>
      <c r="AF5">
        <v>2</v>
      </c>
      <c r="AG5">
        <v>2</v>
      </c>
      <c r="AH5">
        <v>0</v>
      </c>
    </row>
    <row r="6" spans="1:36" ht="221" x14ac:dyDescent="0.2">
      <c r="A6" s="2" t="s">
        <v>33</v>
      </c>
      <c r="B6" s="7" t="s">
        <v>444</v>
      </c>
      <c r="C6" s="2" t="s">
        <v>458</v>
      </c>
      <c r="D6" s="2" t="s">
        <v>458</v>
      </c>
      <c r="E6" s="2" t="s">
        <v>459</v>
      </c>
      <c r="F6" s="2" t="s">
        <v>21</v>
      </c>
      <c r="G6" s="2" t="s">
        <v>34</v>
      </c>
      <c r="H6">
        <v>2016</v>
      </c>
      <c r="I6">
        <v>30</v>
      </c>
      <c r="J6">
        <v>2</v>
      </c>
      <c r="M6">
        <v>234</v>
      </c>
      <c r="N6">
        <v>240</v>
      </c>
      <c r="P6" t="s">
        <v>35</v>
      </c>
      <c r="S6">
        <v>6</v>
      </c>
      <c r="T6">
        <v>1</v>
      </c>
      <c r="U6">
        <v>0</v>
      </c>
      <c r="V6">
        <v>0</v>
      </c>
      <c r="W6">
        <v>0</v>
      </c>
      <c r="X6">
        <v>0</v>
      </c>
      <c r="Y6">
        <v>0</v>
      </c>
      <c r="Z6">
        <v>0</v>
      </c>
      <c r="AA6">
        <v>0</v>
      </c>
      <c r="AB6">
        <v>0</v>
      </c>
      <c r="AC6">
        <v>0</v>
      </c>
      <c r="AD6">
        <v>1</v>
      </c>
      <c r="AE6">
        <v>3</v>
      </c>
      <c r="AF6">
        <v>1</v>
      </c>
      <c r="AG6">
        <v>1</v>
      </c>
      <c r="AH6">
        <v>0</v>
      </c>
    </row>
    <row r="7" spans="1:36" ht="119" x14ac:dyDescent="0.2">
      <c r="A7" s="2" t="s">
        <v>36</v>
      </c>
      <c r="B7" s="7" t="s">
        <v>445</v>
      </c>
      <c r="C7" s="2" t="s">
        <v>458</v>
      </c>
      <c r="D7" s="2" t="s">
        <v>458</v>
      </c>
      <c r="E7" s="2" t="s">
        <v>458</v>
      </c>
      <c r="F7" s="2" t="s">
        <v>37</v>
      </c>
      <c r="G7" s="2" t="s">
        <v>38</v>
      </c>
      <c r="H7">
        <v>2018</v>
      </c>
      <c r="I7">
        <v>40</v>
      </c>
      <c r="M7">
        <v>37</v>
      </c>
      <c r="N7">
        <v>45</v>
      </c>
      <c r="P7" t="s">
        <v>39</v>
      </c>
      <c r="S7">
        <v>5</v>
      </c>
      <c r="T7">
        <v>1</v>
      </c>
      <c r="U7">
        <v>25</v>
      </c>
      <c r="V7">
        <v>0</v>
      </c>
      <c r="W7">
        <v>0</v>
      </c>
      <c r="X7">
        <v>0</v>
      </c>
      <c r="Y7">
        <v>0</v>
      </c>
      <c r="Z7">
        <v>0</v>
      </c>
      <c r="AA7">
        <v>0</v>
      </c>
      <c r="AB7">
        <v>0</v>
      </c>
      <c r="AC7">
        <v>0</v>
      </c>
      <c r="AD7">
        <v>0</v>
      </c>
      <c r="AE7">
        <v>0</v>
      </c>
      <c r="AF7">
        <v>0</v>
      </c>
      <c r="AG7">
        <v>4</v>
      </c>
      <c r="AH7">
        <v>1</v>
      </c>
      <c r="AI7">
        <v>0</v>
      </c>
    </row>
    <row r="8" spans="1:36" ht="388" x14ac:dyDescent="0.2">
      <c r="A8" s="2" t="s">
        <v>40</v>
      </c>
      <c r="B8" s="7" t="s">
        <v>446</v>
      </c>
      <c r="C8" s="2" t="s">
        <v>458</v>
      </c>
      <c r="D8" s="2" t="s">
        <v>458</v>
      </c>
      <c r="E8" s="2" t="s">
        <v>458</v>
      </c>
      <c r="F8" s="2" t="s">
        <v>41</v>
      </c>
      <c r="G8" s="2" t="s">
        <v>30</v>
      </c>
      <c r="H8">
        <v>2020</v>
      </c>
      <c r="I8">
        <v>42</v>
      </c>
      <c r="J8">
        <v>12</v>
      </c>
      <c r="M8">
        <v>1385</v>
      </c>
      <c r="N8">
        <v>1393</v>
      </c>
      <c r="P8" t="s">
        <v>42</v>
      </c>
      <c r="S8">
        <v>1</v>
      </c>
      <c r="T8">
        <v>0</v>
      </c>
      <c r="U8">
        <v>5</v>
      </c>
      <c r="V8">
        <v>0</v>
      </c>
      <c r="W8">
        <v>0</v>
      </c>
      <c r="X8">
        <v>0</v>
      </c>
      <c r="Y8">
        <v>0</v>
      </c>
      <c r="Z8">
        <v>0</v>
      </c>
      <c r="AA8">
        <v>0</v>
      </c>
      <c r="AB8">
        <v>0</v>
      </c>
      <c r="AC8">
        <v>0</v>
      </c>
      <c r="AD8">
        <v>0</v>
      </c>
      <c r="AE8">
        <v>0</v>
      </c>
      <c r="AF8">
        <v>0</v>
      </c>
      <c r="AG8">
        <v>0</v>
      </c>
      <c r="AH8">
        <v>1</v>
      </c>
      <c r="AI8">
        <v>0</v>
      </c>
    </row>
    <row r="9" spans="1:36" ht="340" x14ac:dyDescent="0.2">
      <c r="A9" s="2" t="s">
        <v>43</v>
      </c>
      <c r="B9" s="7" t="s">
        <v>447</v>
      </c>
      <c r="C9" s="2" t="s">
        <v>458</v>
      </c>
      <c r="D9" s="2" t="s">
        <v>458</v>
      </c>
      <c r="E9" s="2" t="s">
        <v>458</v>
      </c>
      <c r="F9" s="2" t="s">
        <v>44</v>
      </c>
      <c r="G9" s="2" t="s">
        <v>45</v>
      </c>
      <c r="H9">
        <v>2021</v>
      </c>
      <c r="I9">
        <v>78</v>
      </c>
      <c r="J9">
        <v>1</v>
      </c>
      <c r="M9">
        <v>245</v>
      </c>
      <c r="N9">
        <v>264</v>
      </c>
      <c r="P9" t="s">
        <v>46</v>
      </c>
      <c r="Q9" t="s">
        <v>47</v>
      </c>
      <c r="R9">
        <v>2019</v>
      </c>
      <c r="S9">
        <v>0</v>
      </c>
      <c r="T9">
        <v>0</v>
      </c>
      <c r="U9">
        <v>0</v>
      </c>
      <c r="V9">
        <v>0</v>
      </c>
      <c r="W9">
        <v>0</v>
      </c>
      <c r="X9">
        <v>0</v>
      </c>
      <c r="Y9">
        <v>0</v>
      </c>
      <c r="Z9">
        <v>0</v>
      </c>
      <c r="AA9">
        <v>0</v>
      </c>
      <c r="AB9">
        <v>0</v>
      </c>
      <c r="AC9">
        <v>0</v>
      </c>
      <c r="AD9">
        <v>0</v>
      </c>
      <c r="AE9">
        <v>0</v>
      </c>
      <c r="AF9">
        <v>0</v>
      </c>
      <c r="AG9">
        <v>0</v>
      </c>
      <c r="AH9">
        <v>0</v>
      </c>
    </row>
    <row r="10" spans="1:36" ht="289" hidden="1" x14ac:dyDescent="0.2">
      <c r="A10" s="2" t="s">
        <v>48</v>
      </c>
      <c r="B10" s="7" t="s">
        <v>449</v>
      </c>
      <c r="C10" s="2" t="s">
        <v>458</v>
      </c>
      <c r="D10" s="2" t="s">
        <v>459</v>
      </c>
      <c r="E10" s="2" t="s">
        <v>459</v>
      </c>
      <c r="F10" s="2" t="s">
        <v>49</v>
      </c>
      <c r="G10" s="2" t="s">
        <v>448</v>
      </c>
      <c r="H10">
        <v>2020</v>
      </c>
      <c r="I10">
        <v>22</v>
      </c>
      <c r="J10">
        <v>12</v>
      </c>
      <c r="S10">
        <v>0</v>
      </c>
      <c r="T10">
        <v>0</v>
      </c>
      <c r="U10">
        <v>0</v>
      </c>
      <c r="V10">
        <v>0</v>
      </c>
      <c r="W10">
        <v>0</v>
      </c>
      <c r="X10">
        <v>0</v>
      </c>
      <c r="Y10">
        <v>0</v>
      </c>
      <c r="Z10">
        <v>0</v>
      </c>
      <c r="AA10">
        <v>0</v>
      </c>
      <c r="AB10">
        <v>0</v>
      </c>
      <c r="AC10">
        <v>0</v>
      </c>
      <c r="AD10">
        <v>0</v>
      </c>
      <c r="AE10">
        <v>0</v>
      </c>
      <c r="AF10">
        <v>0</v>
      </c>
      <c r="AG10">
        <v>0</v>
      </c>
      <c r="AH10">
        <v>0</v>
      </c>
    </row>
    <row r="11" spans="1:36" s="14" customFormat="1" ht="51" hidden="1" x14ac:dyDescent="0.2">
      <c r="A11" s="6" t="s">
        <v>451</v>
      </c>
      <c r="B11" s="13" t="s">
        <v>452</v>
      </c>
      <c r="C11" s="6"/>
      <c r="D11" s="6"/>
      <c r="E11" s="6"/>
      <c r="F11" s="6" t="s">
        <v>50</v>
      </c>
      <c r="G11" s="6" t="s">
        <v>450</v>
      </c>
      <c r="H11" s="14">
        <v>2014</v>
      </c>
      <c r="I11" s="14">
        <v>176</v>
      </c>
      <c r="J11" s="14">
        <v>33</v>
      </c>
      <c r="S11" s="14">
        <v>0</v>
      </c>
      <c r="T11" s="14">
        <v>0</v>
      </c>
      <c r="U11" s="14">
        <v>0</v>
      </c>
      <c r="V11" s="14">
        <v>0</v>
      </c>
      <c r="W11" s="14">
        <v>0</v>
      </c>
      <c r="X11" s="14">
        <v>0</v>
      </c>
      <c r="Y11" s="14">
        <v>0</v>
      </c>
      <c r="Z11" s="14">
        <v>0</v>
      </c>
      <c r="AA11" s="14">
        <v>0</v>
      </c>
      <c r="AB11" s="14">
        <v>0</v>
      </c>
      <c r="AC11" s="14">
        <v>0</v>
      </c>
      <c r="AD11" s="14">
        <v>0</v>
      </c>
      <c r="AE11" s="14">
        <v>0</v>
      </c>
      <c r="AF11" s="14">
        <v>0</v>
      </c>
      <c r="AG11" s="14">
        <v>0</v>
      </c>
      <c r="AH11" s="14">
        <v>0</v>
      </c>
    </row>
    <row r="12" spans="1:36" ht="272" hidden="1" x14ac:dyDescent="0.2">
      <c r="A12" s="2" t="s">
        <v>51</v>
      </c>
      <c r="B12" s="7" t="s">
        <v>453</v>
      </c>
      <c r="C12" s="2" t="s">
        <v>458</v>
      </c>
      <c r="D12" s="2" t="s">
        <v>458</v>
      </c>
      <c r="E12" s="2" t="s">
        <v>458</v>
      </c>
      <c r="F12" s="2" t="s">
        <v>52</v>
      </c>
      <c r="G12" s="2" t="s">
        <v>53</v>
      </c>
      <c r="H12">
        <v>2008</v>
      </c>
      <c r="I12">
        <v>64</v>
      </c>
      <c r="J12">
        <v>2</v>
      </c>
      <c r="M12">
        <v>255</v>
      </c>
      <c r="N12">
        <v>263</v>
      </c>
      <c r="P12" t="s">
        <v>54</v>
      </c>
      <c r="Q12" t="s">
        <v>55</v>
      </c>
      <c r="R12" t="s">
        <v>56</v>
      </c>
      <c r="S12">
        <v>2007</v>
      </c>
      <c r="T12">
        <v>81</v>
      </c>
      <c r="U12">
        <v>5</v>
      </c>
      <c r="V12">
        <v>79</v>
      </c>
      <c r="W12">
        <v>3</v>
      </c>
      <c r="X12">
        <v>3</v>
      </c>
      <c r="Y12">
        <v>16</v>
      </c>
      <c r="Z12">
        <v>9</v>
      </c>
      <c r="AA12">
        <v>7</v>
      </c>
      <c r="AB12">
        <v>5</v>
      </c>
      <c r="AC12">
        <v>5</v>
      </c>
      <c r="AD12">
        <v>5</v>
      </c>
      <c r="AE12">
        <v>5</v>
      </c>
      <c r="AF12">
        <v>5</v>
      </c>
      <c r="AG12">
        <v>4</v>
      </c>
      <c r="AH12">
        <v>7</v>
      </c>
      <c r="AI12">
        <v>6</v>
      </c>
      <c r="AJ12">
        <v>1</v>
      </c>
    </row>
    <row r="13" spans="1:36" ht="356" x14ac:dyDescent="0.2">
      <c r="A13" s="2" t="s">
        <v>920</v>
      </c>
      <c r="B13" s="7" t="s">
        <v>454</v>
      </c>
      <c r="C13" s="2" t="s">
        <v>459</v>
      </c>
      <c r="F13" s="2" t="s">
        <v>57</v>
      </c>
      <c r="G13" s="2" t="s">
        <v>58</v>
      </c>
      <c r="H13">
        <v>2010</v>
      </c>
      <c r="I13">
        <v>19</v>
      </c>
      <c r="K13">
        <v>2</v>
      </c>
      <c r="O13" t="s">
        <v>59</v>
      </c>
      <c r="P13" t="s">
        <v>60</v>
      </c>
      <c r="S13">
        <v>251</v>
      </c>
      <c r="T13">
        <v>20</v>
      </c>
      <c r="U13">
        <v>92</v>
      </c>
      <c r="V13">
        <v>0</v>
      </c>
      <c r="W13">
        <v>0</v>
      </c>
      <c r="X13">
        <v>1</v>
      </c>
      <c r="Y13">
        <v>5</v>
      </c>
      <c r="Z13">
        <v>9</v>
      </c>
      <c r="AA13">
        <v>14</v>
      </c>
      <c r="AB13">
        <v>15</v>
      </c>
      <c r="AC13">
        <v>31</v>
      </c>
      <c r="AD13">
        <v>20</v>
      </c>
      <c r="AE13">
        <v>39</v>
      </c>
      <c r="AF13">
        <v>36</v>
      </c>
      <c r="AG13">
        <v>28</v>
      </c>
      <c r="AH13">
        <v>49</v>
      </c>
      <c r="AI13">
        <v>4</v>
      </c>
    </row>
    <row r="14" spans="1:36" ht="289" hidden="1" x14ac:dyDescent="0.2">
      <c r="A14" s="2" t="s">
        <v>61</v>
      </c>
      <c r="B14" s="7" t="s">
        <v>455</v>
      </c>
      <c r="C14" s="2" t="s">
        <v>459</v>
      </c>
      <c r="F14" s="2" t="s">
        <v>62</v>
      </c>
      <c r="G14" s="2" t="s">
        <v>45</v>
      </c>
      <c r="H14">
        <v>2012</v>
      </c>
      <c r="I14">
        <v>69</v>
      </c>
      <c r="J14">
        <v>2</v>
      </c>
      <c r="M14">
        <v>242</v>
      </c>
      <c r="N14">
        <v>248</v>
      </c>
      <c r="P14" t="s">
        <v>63</v>
      </c>
      <c r="S14">
        <v>77</v>
      </c>
      <c r="T14">
        <v>7</v>
      </c>
      <c r="U14">
        <v>7</v>
      </c>
      <c r="V14">
        <v>0</v>
      </c>
      <c r="W14">
        <v>0</v>
      </c>
      <c r="X14">
        <v>0</v>
      </c>
      <c r="Y14">
        <v>0</v>
      </c>
      <c r="Z14">
        <v>3</v>
      </c>
      <c r="AA14">
        <v>4</v>
      </c>
      <c r="AB14">
        <v>7</v>
      </c>
      <c r="AC14">
        <v>10</v>
      </c>
      <c r="AD14">
        <v>12</v>
      </c>
      <c r="AE14">
        <v>10</v>
      </c>
      <c r="AF14">
        <v>10</v>
      </c>
      <c r="AG14">
        <v>5</v>
      </c>
      <c r="AH14">
        <v>15</v>
      </c>
      <c r="AI14">
        <v>1</v>
      </c>
    </row>
    <row r="15" spans="1:36" ht="204" hidden="1" x14ac:dyDescent="0.2">
      <c r="A15" s="2" t="s">
        <v>64</v>
      </c>
      <c r="B15" s="7" t="s">
        <v>464</v>
      </c>
      <c r="C15" s="2" t="s">
        <v>458</v>
      </c>
      <c r="D15" s="2" t="s">
        <v>458</v>
      </c>
      <c r="E15" s="2" t="s">
        <v>459</v>
      </c>
      <c r="F15" s="2" t="s">
        <v>65</v>
      </c>
      <c r="G15" s="2" t="s">
        <v>66</v>
      </c>
      <c r="H15">
        <v>2013</v>
      </c>
      <c r="I15">
        <v>84</v>
      </c>
      <c r="J15">
        <v>1</v>
      </c>
      <c r="M15">
        <v>78</v>
      </c>
      <c r="N15">
        <v>84</v>
      </c>
      <c r="P15" t="s">
        <v>67</v>
      </c>
      <c r="S15">
        <v>44</v>
      </c>
      <c r="T15">
        <v>4</v>
      </c>
      <c r="U15">
        <v>89</v>
      </c>
      <c r="V15">
        <v>0</v>
      </c>
      <c r="W15">
        <v>0</v>
      </c>
      <c r="X15">
        <v>0</v>
      </c>
      <c r="Y15">
        <v>0</v>
      </c>
      <c r="Z15">
        <v>0</v>
      </c>
      <c r="AA15">
        <v>5</v>
      </c>
      <c r="AB15">
        <v>5</v>
      </c>
      <c r="AC15">
        <v>4</v>
      </c>
      <c r="AD15">
        <v>8</v>
      </c>
      <c r="AE15">
        <v>5</v>
      </c>
      <c r="AF15">
        <v>4</v>
      </c>
      <c r="AG15">
        <v>6</v>
      </c>
      <c r="AH15">
        <v>6</v>
      </c>
      <c r="AI15">
        <v>1</v>
      </c>
    </row>
    <row r="16" spans="1:36" ht="272" hidden="1" x14ac:dyDescent="0.2">
      <c r="A16" s="2" t="s">
        <v>68</v>
      </c>
      <c r="B16" s="7" t="s">
        <v>465</v>
      </c>
      <c r="C16" s="2" t="s">
        <v>458</v>
      </c>
      <c r="D16" s="2" t="s">
        <v>458</v>
      </c>
      <c r="E16" s="2" t="s">
        <v>459</v>
      </c>
      <c r="F16" s="2" t="s">
        <v>69</v>
      </c>
      <c r="G16" s="2" t="s">
        <v>70</v>
      </c>
      <c r="H16">
        <v>2010</v>
      </c>
      <c r="I16">
        <v>27</v>
      </c>
      <c r="J16">
        <v>10</v>
      </c>
      <c r="M16">
        <v>734</v>
      </c>
      <c r="N16">
        <v>738</v>
      </c>
      <c r="P16" t="s">
        <v>71</v>
      </c>
      <c r="S16">
        <v>43</v>
      </c>
      <c r="T16">
        <v>3</v>
      </c>
      <c r="U16">
        <v>58</v>
      </c>
      <c r="V16">
        <v>0</v>
      </c>
      <c r="W16">
        <v>0</v>
      </c>
      <c r="X16">
        <v>0</v>
      </c>
      <c r="Y16">
        <v>2</v>
      </c>
      <c r="Z16">
        <v>3</v>
      </c>
      <c r="AA16">
        <v>6</v>
      </c>
      <c r="AB16">
        <v>7</v>
      </c>
      <c r="AC16">
        <v>1</v>
      </c>
      <c r="AD16">
        <v>5</v>
      </c>
      <c r="AE16">
        <v>3</v>
      </c>
      <c r="AF16">
        <v>3</v>
      </c>
      <c r="AG16">
        <v>6</v>
      </c>
      <c r="AH16">
        <v>7</v>
      </c>
      <c r="AI16">
        <v>0</v>
      </c>
    </row>
    <row r="17" spans="1:37" ht="221" x14ac:dyDescent="0.2">
      <c r="A17" s="2" t="s">
        <v>924</v>
      </c>
      <c r="B17" s="7" t="s">
        <v>466</v>
      </c>
      <c r="C17" s="2" t="s">
        <v>459</v>
      </c>
      <c r="D17" s="2" t="s">
        <v>458</v>
      </c>
      <c r="E17" s="2" t="s">
        <v>458</v>
      </c>
      <c r="F17" s="2" t="s">
        <v>72</v>
      </c>
      <c r="G17" s="2" t="s">
        <v>73</v>
      </c>
      <c r="H17" t="s">
        <v>74</v>
      </c>
      <c r="I17">
        <v>2012</v>
      </c>
      <c r="J17">
        <v>68</v>
      </c>
      <c r="K17">
        <v>2</v>
      </c>
      <c r="N17">
        <v>167</v>
      </c>
      <c r="O17">
        <v>72</v>
      </c>
      <c r="Q17" t="s">
        <v>75</v>
      </c>
      <c r="T17">
        <v>36</v>
      </c>
      <c r="U17">
        <v>3</v>
      </c>
      <c r="V17">
        <v>6</v>
      </c>
      <c r="W17">
        <v>0</v>
      </c>
      <c r="X17">
        <v>0</v>
      </c>
      <c r="Y17">
        <v>0</v>
      </c>
      <c r="Z17">
        <v>0</v>
      </c>
      <c r="AA17">
        <v>0</v>
      </c>
      <c r="AB17">
        <v>0</v>
      </c>
      <c r="AC17">
        <v>3</v>
      </c>
      <c r="AD17">
        <v>2</v>
      </c>
      <c r="AE17">
        <v>3</v>
      </c>
      <c r="AF17">
        <v>5</v>
      </c>
      <c r="AG17">
        <v>3</v>
      </c>
      <c r="AH17">
        <v>9</v>
      </c>
      <c r="AI17">
        <v>9</v>
      </c>
      <c r="AJ17">
        <v>2</v>
      </c>
    </row>
    <row r="18" spans="1:37" s="12" customFormat="1" ht="306" hidden="1" x14ac:dyDescent="0.2">
      <c r="A18" s="10" t="s">
        <v>76</v>
      </c>
      <c r="B18" s="11" t="s">
        <v>467</v>
      </c>
      <c r="C18" s="10" t="s">
        <v>458</v>
      </c>
      <c r="D18" s="10" t="s">
        <v>458</v>
      </c>
      <c r="E18" s="10" t="s">
        <v>459</v>
      </c>
      <c r="F18" s="10" t="s">
        <v>77</v>
      </c>
      <c r="G18" s="10" t="s">
        <v>468</v>
      </c>
      <c r="H18" s="12">
        <v>2018</v>
      </c>
      <c r="I18" s="12">
        <v>215</v>
      </c>
      <c r="J18" s="12">
        <v>1</v>
      </c>
      <c r="M18" s="12">
        <v>42</v>
      </c>
      <c r="N18" s="12">
        <v>47</v>
      </c>
      <c r="P18" s="12" t="s">
        <v>78</v>
      </c>
      <c r="S18" s="12">
        <v>27</v>
      </c>
      <c r="T18" s="12">
        <v>6</v>
      </c>
      <c r="U18" s="12">
        <v>75</v>
      </c>
      <c r="V18" s="12">
        <v>0</v>
      </c>
      <c r="W18" s="12">
        <v>0</v>
      </c>
      <c r="X18" s="12">
        <v>0</v>
      </c>
      <c r="Y18" s="12">
        <v>0</v>
      </c>
      <c r="Z18" s="12">
        <v>0</v>
      </c>
      <c r="AA18" s="12">
        <v>0</v>
      </c>
      <c r="AB18" s="12">
        <v>0</v>
      </c>
      <c r="AC18" s="12">
        <v>0</v>
      </c>
      <c r="AD18" s="12">
        <v>0</v>
      </c>
      <c r="AE18" s="12">
        <v>0</v>
      </c>
      <c r="AF18" s="12">
        <v>5</v>
      </c>
      <c r="AG18" s="12">
        <v>7</v>
      </c>
      <c r="AH18" s="12">
        <v>13</v>
      </c>
      <c r="AI18" s="12">
        <v>2</v>
      </c>
    </row>
    <row r="19" spans="1:37" ht="323" hidden="1" x14ac:dyDescent="0.2">
      <c r="A19" s="2" t="s">
        <v>469</v>
      </c>
      <c r="B19" s="7" t="s">
        <v>470</v>
      </c>
      <c r="C19" s="2" t="s">
        <v>458</v>
      </c>
      <c r="D19" s="2" t="s">
        <v>458</v>
      </c>
      <c r="E19" s="2" t="s">
        <v>458</v>
      </c>
      <c r="F19" s="2" t="s">
        <v>79</v>
      </c>
      <c r="G19" s="2" t="s">
        <v>80</v>
      </c>
      <c r="H19" t="s">
        <v>81</v>
      </c>
      <c r="I19">
        <v>2013</v>
      </c>
      <c r="J19">
        <v>75</v>
      </c>
      <c r="K19">
        <v>5</v>
      </c>
      <c r="N19">
        <v>753</v>
      </c>
      <c r="O19">
        <v>758</v>
      </c>
      <c r="Q19" t="s">
        <v>82</v>
      </c>
      <c r="T19">
        <v>26</v>
      </c>
      <c r="U19">
        <v>2</v>
      </c>
      <c r="V19">
        <v>89</v>
      </c>
      <c r="W19">
        <v>0</v>
      </c>
      <c r="X19">
        <v>0</v>
      </c>
      <c r="Y19">
        <v>0</v>
      </c>
      <c r="Z19">
        <v>0</v>
      </c>
      <c r="AA19">
        <v>0</v>
      </c>
      <c r="AB19">
        <v>0</v>
      </c>
      <c r="AC19">
        <v>0</v>
      </c>
      <c r="AD19">
        <v>3</v>
      </c>
      <c r="AE19">
        <v>10</v>
      </c>
      <c r="AF19">
        <v>3</v>
      </c>
      <c r="AG19">
        <v>4</v>
      </c>
      <c r="AH19">
        <v>3</v>
      </c>
      <c r="AI19">
        <v>3</v>
      </c>
      <c r="AJ19">
        <v>0</v>
      </c>
    </row>
    <row r="20" spans="1:37" s="14" customFormat="1" ht="34" hidden="1" x14ac:dyDescent="0.2">
      <c r="A20" s="6" t="s">
        <v>83</v>
      </c>
      <c r="B20" s="13" t="s">
        <v>471</v>
      </c>
      <c r="C20" s="6"/>
      <c r="D20" s="6"/>
      <c r="E20" s="6"/>
      <c r="F20" s="6" t="s">
        <v>84</v>
      </c>
      <c r="G20" s="6" t="s">
        <v>85</v>
      </c>
      <c r="H20" s="14">
        <v>2013</v>
      </c>
      <c r="I20" s="14">
        <v>34</v>
      </c>
      <c r="J20" s="14">
        <v>4</v>
      </c>
      <c r="M20" s="14">
        <v>360</v>
      </c>
      <c r="N20" s="14">
        <v>386</v>
      </c>
      <c r="S20" s="14">
        <v>24</v>
      </c>
      <c r="T20" s="14">
        <v>2</v>
      </c>
      <c r="U20" s="14">
        <v>67</v>
      </c>
      <c r="V20" s="14">
        <v>0</v>
      </c>
      <c r="W20" s="14">
        <v>0</v>
      </c>
      <c r="X20" s="14">
        <v>0</v>
      </c>
      <c r="Y20" s="14">
        <v>0</v>
      </c>
      <c r="Z20" s="14">
        <v>0</v>
      </c>
      <c r="AA20" s="14">
        <v>0</v>
      </c>
      <c r="AB20" s="14">
        <v>1</v>
      </c>
      <c r="AC20" s="14">
        <v>2</v>
      </c>
      <c r="AD20" s="14">
        <v>2</v>
      </c>
      <c r="AE20" s="14">
        <v>3</v>
      </c>
      <c r="AF20" s="14">
        <v>2</v>
      </c>
      <c r="AG20" s="14">
        <v>7</v>
      </c>
      <c r="AH20" s="14">
        <v>7</v>
      </c>
      <c r="AI20" s="14">
        <v>0</v>
      </c>
    </row>
    <row r="21" spans="1:37" s="14" customFormat="1" ht="34" hidden="1" x14ac:dyDescent="0.2">
      <c r="A21" s="6" t="s">
        <v>86</v>
      </c>
      <c r="B21" s="13" t="s">
        <v>472</v>
      </c>
      <c r="C21" s="6"/>
      <c r="D21" s="6"/>
      <c r="E21" s="6"/>
      <c r="F21" s="6" t="s">
        <v>87</v>
      </c>
      <c r="G21" s="6" t="s">
        <v>88</v>
      </c>
      <c r="H21" s="14" t="s">
        <v>89</v>
      </c>
      <c r="I21" s="14">
        <v>2010</v>
      </c>
      <c r="J21" s="14">
        <v>59</v>
      </c>
      <c r="K21" s="14">
        <v>4</v>
      </c>
      <c r="N21" s="14">
        <v>131</v>
      </c>
      <c r="O21" s="14">
        <v>139</v>
      </c>
      <c r="Q21" s="14" t="s">
        <v>90</v>
      </c>
      <c r="T21" s="14">
        <v>23</v>
      </c>
      <c r="U21" s="14">
        <v>1</v>
      </c>
      <c r="V21" s="14">
        <v>92</v>
      </c>
      <c r="W21" s="14">
        <v>0</v>
      </c>
      <c r="X21" s="14">
        <v>0</v>
      </c>
      <c r="Y21" s="14">
        <v>0</v>
      </c>
      <c r="Z21" s="14">
        <v>0</v>
      </c>
      <c r="AA21" s="14">
        <v>1</v>
      </c>
      <c r="AB21" s="14">
        <v>3</v>
      </c>
      <c r="AC21" s="14">
        <v>3</v>
      </c>
      <c r="AD21" s="14">
        <v>2</v>
      </c>
      <c r="AE21" s="14">
        <v>2</v>
      </c>
      <c r="AF21" s="14">
        <v>3</v>
      </c>
      <c r="AG21" s="14">
        <v>3</v>
      </c>
      <c r="AH21" s="14">
        <v>2</v>
      </c>
      <c r="AI21" s="14">
        <v>2</v>
      </c>
      <c r="AJ21" s="14">
        <v>2</v>
      </c>
    </row>
    <row r="22" spans="1:37" s="14" customFormat="1" ht="17" hidden="1" x14ac:dyDescent="0.2">
      <c r="A22" s="6" t="s">
        <v>91</v>
      </c>
      <c r="B22" s="13" t="s">
        <v>473</v>
      </c>
      <c r="C22" s="6"/>
      <c r="D22" s="6"/>
      <c r="E22" s="6"/>
      <c r="F22" s="6" t="s">
        <v>92</v>
      </c>
      <c r="G22" s="6" t="s">
        <v>93</v>
      </c>
      <c r="H22" s="14" t="s">
        <v>94</v>
      </c>
      <c r="I22" s="14">
        <v>2010</v>
      </c>
      <c r="J22" s="14">
        <v>90</v>
      </c>
      <c r="K22" s="14">
        <v>3</v>
      </c>
      <c r="N22" s="14">
        <v>619</v>
      </c>
      <c r="O22" s="14" t="s">
        <v>95</v>
      </c>
      <c r="Q22" s="14" t="s">
        <v>96</v>
      </c>
      <c r="T22" s="14">
        <v>23</v>
      </c>
      <c r="U22" s="14">
        <v>1</v>
      </c>
      <c r="V22" s="14">
        <v>92</v>
      </c>
      <c r="W22" s="14">
        <v>0</v>
      </c>
      <c r="X22" s="14">
        <v>0</v>
      </c>
      <c r="Y22" s="14">
        <v>1</v>
      </c>
      <c r="Z22" s="14">
        <v>4</v>
      </c>
      <c r="AA22" s="14">
        <v>3</v>
      </c>
      <c r="AB22" s="14">
        <v>2</v>
      </c>
      <c r="AC22" s="14">
        <v>0</v>
      </c>
      <c r="AD22" s="14">
        <v>5</v>
      </c>
      <c r="AE22" s="14">
        <v>2</v>
      </c>
      <c r="AF22" s="14">
        <v>3</v>
      </c>
      <c r="AG22" s="14">
        <v>3</v>
      </c>
      <c r="AH22" s="14">
        <v>0</v>
      </c>
      <c r="AI22" s="14">
        <v>0</v>
      </c>
      <c r="AJ22" s="14">
        <v>0</v>
      </c>
    </row>
    <row r="23" spans="1:37" ht="255" hidden="1" x14ac:dyDescent="0.2">
      <c r="A23" s="2" t="s">
        <v>97</v>
      </c>
      <c r="B23" s="7" t="s">
        <v>474</v>
      </c>
      <c r="C23" s="2" t="s">
        <v>458</v>
      </c>
      <c r="D23" s="2" t="s">
        <v>458</v>
      </c>
      <c r="E23" s="2" t="s">
        <v>459</v>
      </c>
      <c r="F23" s="2" t="s">
        <v>98</v>
      </c>
      <c r="G23" s="2" t="s">
        <v>26</v>
      </c>
      <c r="H23">
        <v>2015</v>
      </c>
      <c r="I23">
        <v>10</v>
      </c>
      <c r="J23">
        <v>3</v>
      </c>
      <c r="M23">
        <v>139</v>
      </c>
      <c r="N23">
        <v>145</v>
      </c>
      <c r="P23" t="s">
        <v>99</v>
      </c>
      <c r="S23">
        <v>21</v>
      </c>
      <c r="T23">
        <v>3</v>
      </c>
      <c r="U23">
        <v>0</v>
      </c>
      <c r="V23">
        <v>0</v>
      </c>
      <c r="W23">
        <v>0</v>
      </c>
      <c r="X23">
        <v>0</v>
      </c>
      <c r="Y23">
        <v>0</v>
      </c>
      <c r="Z23">
        <v>0</v>
      </c>
      <c r="AA23">
        <v>0</v>
      </c>
      <c r="AB23">
        <v>3</v>
      </c>
      <c r="AC23">
        <v>1</v>
      </c>
      <c r="AD23">
        <v>5</v>
      </c>
      <c r="AE23">
        <v>4</v>
      </c>
      <c r="AF23">
        <v>2</v>
      </c>
      <c r="AG23">
        <v>5</v>
      </c>
      <c r="AH23">
        <v>1</v>
      </c>
    </row>
    <row r="24" spans="1:37" s="14" customFormat="1" ht="85" hidden="1" x14ac:dyDescent="0.2">
      <c r="A24" s="6" t="s">
        <v>100</v>
      </c>
      <c r="B24" s="13" t="s">
        <v>475</v>
      </c>
      <c r="C24" s="6"/>
      <c r="D24" s="6"/>
      <c r="E24" s="6"/>
      <c r="F24" s="6" t="s">
        <v>101</v>
      </c>
      <c r="G24" s="6" t="s">
        <v>102</v>
      </c>
      <c r="H24" s="14">
        <v>2014</v>
      </c>
      <c r="I24" s="14">
        <v>149</v>
      </c>
      <c r="J24" s="14">
        <v>9</v>
      </c>
      <c r="M24" s="14">
        <v>962</v>
      </c>
      <c r="N24" s="14">
        <v>968</v>
      </c>
      <c r="P24" s="14" t="s">
        <v>103</v>
      </c>
      <c r="S24" s="14">
        <v>20</v>
      </c>
      <c r="T24" s="14">
        <v>2</v>
      </c>
      <c r="U24" s="14">
        <v>5</v>
      </c>
      <c r="V24" s="14">
        <v>0</v>
      </c>
      <c r="W24" s="14">
        <v>0</v>
      </c>
      <c r="X24" s="14">
        <v>0</v>
      </c>
      <c r="Y24" s="14">
        <v>0</v>
      </c>
      <c r="Z24" s="14">
        <v>0</v>
      </c>
      <c r="AA24" s="14">
        <v>0</v>
      </c>
      <c r="AB24" s="14">
        <v>1</v>
      </c>
      <c r="AC24" s="14">
        <v>0</v>
      </c>
      <c r="AD24" s="14">
        <v>3</v>
      </c>
      <c r="AE24" s="14">
        <v>3</v>
      </c>
      <c r="AF24" s="14">
        <v>5</v>
      </c>
      <c r="AG24" s="14">
        <v>5</v>
      </c>
      <c r="AH24" s="14">
        <v>2</v>
      </c>
      <c r="AI24" s="14">
        <v>1</v>
      </c>
    </row>
    <row r="25" spans="1:37" ht="356" hidden="1" x14ac:dyDescent="0.2">
      <c r="A25" s="2" t="s">
        <v>104</v>
      </c>
      <c r="B25" s="7" t="s">
        <v>476</v>
      </c>
      <c r="C25" s="2" t="s">
        <v>458</v>
      </c>
      <c r="D25" s="2" t="s">
        <v>458</v>
      </c>
      <c r="E25" s="2" t="s">
        <v>458</v>
      </c>
      <c r="F25" s="2" t="s">
        <v>105</v>
      </c>
      <c r="G25" s="2" t="s">
        <v>66</v>
      </c>
      <c r="H25">
        <v>2013</v>
      </c>
      <c r="I25">
        <v>84</v>
      </c>
      <c r="J25">
        <v>7</v>
      </c>
      <c r="M25">
        <v>992</v>
      </c>
      <c r="N25">
        <v>998</v>
      </c>
      <c r="P25" t="s">
        <v>106</v>
      </c>
      <c r="S25">
        <v>18</v>
      </c>
      <c r="T25">
        <v>2</v>
      </c>
      <c r="U25">
        <v>0</v>
      </c>
      <c r="V25">
        <v>0</v>
      </c>
      <c r="W25">
        <v>0</v>
      </c>
      <c r="X25">
        <v>0</v>
      </c>
      <c r="Y25">
        <v>0</v>
      </c>
      <c r="Z25">
        <v>0</v>
      </c>
      <c r="AA25">
        <v>3</v>
      </c>
      <c r="AB25">
        <v>4</v>
      </c>
      <c r="AC25">
        <v>0</v>
      </c>
      <c r="AD25">
        <v>1</v>
      </c>
      <c r="AE25">
        <v>1</v>
      </c>
      <c r="AF25">
        <v>6</v>
      </c>
      <c r="AG25">
        <v>3</v>
      </c>
      <c r="AH25">
        <v>0</v>
      </c>
    </row>
    <row r="26" spans="1:37" s="14" customFormat="1" ht="68" hidden="1" x14ac:dyDescent="0.2">
      <c r="A26" s="6" t="s">
        <v>107</v>
      </c>
      <c r="B26" s="13" t="s">
        <v>477</v>
      </c>
      <c r="C26" s="6"/>
      <c r="D26" s="6"/>
      <c r="E26" s="6"/>
      <c r="F26" s="6" t="s">
        <v>108</v>
      </c>
      <c r="G26" s="6" t="s">
        <v>109</v>
      </c>
      <c r="H26" s="14">
        <v>2018</v>
      </c>
      <c r="I26" s="14">
        <v>227</v>
      </c>
      <c r="J26" s="14">
        <v>1</v>
      </c>
      <c r="M26" s="14">
        <v>127</v>
      </c>
      <c r="N26" s="14">
        <v>133</v>
      </c>
      <c r="P26" s="14" t="s">
        <v>110</v>
      </c>
      <c r="Q26" s="14" t="s">
        <v>111</v>
      </c>
      <c r="R26" s="14" t="s">
        <v>112</v>
      </c>
      <c r="S26" s="14">
        <v>2017</v>
      </c>
      <c r="T26" s="14">
        <v>16</v>
      </c>
      <c r="U26" s="14">
        <v>4</v>
      </c>
      <c r="V26" s="14">
        <v>0</v>
      </c>
      <c r="W26" s="14">
        <v>0</v>
      </c>
      <c r="X26" s="14">
        <v>0</v>
      </c>
      <c r="Y26" s="14">
        <v>0</v>
      </c>
      <c r="Z26" s="14">
        <v>0</v>
      </c>
      <c r="AA26" s="14">
        <v>0</v>
      </c>
      <c r="AB26" s="14">
        <v>0</v>
      </c>
      <c r="AC26" s="14">
        <v>0</v>
      </c>
      <c r="AD26" s="14">
        <v>0</v>
      </c>
      <c r="AE26" s="14">
        <v>0</v>
      </c>
      <c r="AF26" s="14">
        <v>0</v>
      </c>
      <c r="AG26" s="14">
        <v>8</v>
      </c>
      <c r="AH26" s="14">
        <v>7</v>
      </c>
      <c r="AI26" s="14">
        <v>1</v>
      </c>
    </row>
    <row r="27" spans="1:37" ht="289" hidden="1" x14ac:dyDescent="0.2">
      <c r="A27" s="2" t="s">
        <v>113</v>
      </c>
      <c r="B27" s="7" t="s">
        <v>478</v>
      </c>
      <c r="C27" s="2" t="s">
        <v>458</v>
      </c>
      <c r="D27" s="2" t="s">
        <v>459</v>
      </c>
      <c r="E27" s="2" t="s">
        <v>458</v>
      </c>
      <c r="F27" s="2" t="s">
        <v>114</v>
      </c>
      <c r="G27" s="2" t="s">
        <v>115</v>
      </c>
      <c r="H27">
        <v>2017</v>
      </c>
      <c r="I27">
        <v>29</v>
      </c>
      <c r="J27">
        <v>1</v>
      </c>
      <c r="M27">
        <v>83</v>
      </c>
      <c r="N27">
        <v>88</v>
      </c>
      <c r="P27" t="s">
        <v>116</v>
      </c>
      <c r="S27">
        <v>16</v>
      </c>
      <c r="T27">
        <v>3</v>
      </c>
      <c r="U27">
        <v>2</v>
      </c>
      <c r="V27">
        <v>0</v>
      </c>
      <c r="W27">
        <v>0</v>
      </c>
      <c r="X27">
        <v>0</v>
      </c>
      <c r="Y27">
        <v>0</v>
      </c>
      <c r="Z27">
        <v>0</v>
      </c>
      <c r="AA27">
        <v>0</v>
      </c>
      <c r="AB27">
        <v>0</v>
      </c>
      <c r="AC27">
        <v>0</v>
      </c>
      <c r="AD27">
        <v>0</v>
      </c>
      <c r="AE27">
        <v>0</v>
      </c>
      <c r="AF27">
        <v>5</v>
      </c>
      <c r="AG27">
        <v>3</v>
      </c>
      <c r="AH27">
        <v>7</v>
      </c>
      <c r="AI27">
        <v>1</v>
      </c>
    </row>
    <row r="28" spans="1:37" ht="340" hidden="1" x14ac:dyDescent="0.2">
      <c r="A28" s="2" t="s">
        <v>117</v>
      </c>
      <c r="B28" s="7" t="s">
        <v>479</v>
      </c>
      <c r="C28" s="2" t="s">
        <v>458</v>
      </c>
      <c r="D28" s="2" t="s">
        <v>458</v>
      </c>
      <c r="E28" s="2" t="s">
        <v>458</v>
      </c>
      <c r="F28" s="2" t="s">
        <v>118</v>
      </c>
      <c r="G28" s="2" t="s">
        <v>45</v>
      </c>
      <c r="H28">
        <v>2016</v>
      </c>
      <c r="I28">
        <v>73</v>
      </c>
      <c r="J28">
        <v>1</v>
      </c>
      <c r="M28">
        <v>121</v>
      </c>
      <c r="N28">
        <v>128</v>
      </c>
      <c r="P28" t="s">
        <v>119</v>
      </c>
      <c r="S28">
        <v>16</v>
      </c>
      <c r="T28">
        <v>2</v>
      </c>
      <c r="U28">
        <v>67</v>
      </c>
      <c r="V28">
        <v>0</v>
      </c>
      <c r="W28">
        <v>0</v>
      </c>
      <c r="X28">
        <v>0</v>
      </c>
      <c r="Y28">
        <v>0</v>
      </c>
      <c r="Z28">
        <v>0</v>
      </c>
      <c r="AA28">
        <v>0</v>
      </c>
      <c r="AB28">
        <v>0</v>
      </c>
      <c r="AC28">
        <v>0</v>
      </c>
      <c r="AD28">
        <v>1</v>
      </c>
      <c r="AE28">
        <v>2</v>
      </c>
      <c r="AF28">
        <v>4</v>
      </c>
      <c r="AG28">
        <v>4</v>
      </c>
      <c r="AH28">
        <v>4</v>
      </c>
      <c r="AI28">
        <v>1</v>
      </c>
    </row>
    <row r="29" spans="1:37" s="12" customFormat="1" ht="372" hidden="1" x14ac:dyDescent="0.2">
      <c r="A29" s="10" t="s">
        <v>120</v>
      </c>
      <c r="B29" s="11" t="s">
        <v>480</v>
      </c>
      <c r="C29" s="10" t="s">
        <v>458</v>
      </c>
      <c r="D29" s="10" t="s">
        <v>458</v>
      </c>
      <c r="E29" s="10" t="s">
        <v>458</v>
      </c>
      <c r="F29" s="10" t="s">
        <v>121</v>
      </c>
      <c r="G29" s="10" t="s">
        <v>481</v>
      </c>
      <c r="H29" s="12">
        <v>2015</v>
      </c>
      <c r="I29" s="12">
        <v>46</v>
      </c>
      <c r="J29" s="12">
        <v>9</v>
      </c>
      <c r="M29" s="12">
        <v>1796</v>
      </c>
      <c r="N29" s="12">
        <v>1800</v>
      </c>
      <c r="P29" s="12" t="s">
        <v>122</v>
      </c>
      <c r="S29" s="12">
        <v>16</v>
      </c>
      <c r="T29" s="12">
        <v>2</v>
      </c>
      <c r="U29" s="12">
        <v>29</v>
      </c>
      <c r="V29" s="12">
        <v>0</v>
      </c>
      <c r="W29" s="12">
        <v>0</v>
      </c>
      <c r="X29" s="12">
        <v>0</v>
      </c>
      <c r="Y29" s="12">
        <v>0</v>
      </c>
      <c r="Z29" s="12">
        <v>0</v>
      </c>
      <c r="AA29" s="12">
        <v>0</v>
      </c>
      <c r="AB29" s="12">
        <v>0</v>
      </c>
      <c r="AC29" s="12">
        <v>0</v>
      </c>
      <c r="AD29" s="12">
        <v>4</v>
      </c>
      <c r="AE29" s="12">
        <v>2</v>
      </c>
      <c r="AF29" s="12">
        <v>5</v>
      </c>
      <c r="AG29" s="12">
        <v>2</v>
      </c>
      <c r="AH29" s="12">
        <v>2</v>
      </c>
      <c r="AI29" s="12">
        <v>1</v>
      </c>
    </row>
    <row r="30" spans="1:37" ht="356" x14ac:dyDescent="0.2">
      <c r="A30" s="2" t="s">
        <v>922</v>
      </c>
      <c r="B30" s="7" t="s">
        <v>482</v>
      </c>
      <c r="C30" s="2" t="s">
        <v>458</v>
      </c>
      <c r="D30" s="2" t="s">
        <v>459</v>
      </c>
      <c r="E30" s="2" t="s">
        <v>459</v>
      </c>
      <c r="F30" s="2" t="s">
        <v>123</v>
      </c>
      <c r="G30" s="2" t="s">
        <v>124</v>
      </c>
      <c r="H30">
        <v>2013</v>
      </c>
      <c r="I30">
        <v>31</v>
      </c>
      <c r="J30">
        <v>1</v>
      </c>
      <c r="M30">
        <v>167</v>
      </c>
      <c r="N30">
        <v>77</v>
      </c>
      <c r="P30" t="s">
        <v>125</v>
      </c>
      <c r="S30">
        <v>16</v>
      </c>
      <c r="T30">
        <v>1</v>
      </c>
      <c r="U30">
        <v>78</v>
      </c>
      <c r="V30">
        <v>0</v>
      </c>
      <c r="W30">
        <v>0</v>
      </c>
      <c r="X30">
        <v>0</v>
      </c>
      <c r="Y30">
        <v>0</v>
      </c>
      <c r="Z30">
        <v>0</v>
      </c>
      <c r="AA30">
        <v>0</v>
      </c>
      <c r="AB30">
        <v>2</v>
      </c>
      <c r="AC30">
        <v>4</v>
      </c>
      <c r="AD30">
        <v>1</v>
      </c>
      <c r="AE30">
        <v>3</v>
      </c>
      <c r="AF30">
        <v>2</v>
      </c>
      <c r="AG30">
        <v>0</v>
      </c>
      <c r="AH30">
        <v>3</v>
      </c>
      <c r="AI30">
        <v>1</v>
      </c>
    </row>
    <row r="31" spans="1:37" ht="170" hidden="1" x14ac:dyDescent="0.2">
      <c r="A31" s="2" t="s">
        <v>126</v>
      </c>
      <c r="B31" s="7" t="s">
        <v>483</v>
      </c>
      <c r="C31" s="2" t="s">
        <v>458</v>
      </c>
      <c r="D31" s="2" t="s">
        <v>459</v>
      </c>
      <c r="E31" s="2" t="s">
        <v>459</v>
      </c>
      <c r="F31" s="2" t="s">
        <v>127</v>
      </c>
      <c r="G31" s="2" t="s">
        <v>128</v>
      </c>
      <c r="H31" t="s">
        <v>81</v>
      </c>
      <c r="I31">
        <v>2017</v>
      </c>
      <c r="J31">
        <v>82</v>
      </c>
      <c r="K31">
        <v>6</v>
      </c>
      <c r="L31">
        <v>1</v>
      </c>
      <c r="N31" t="s">
        <v>129</v>
      </c>
      <c r="O31" t="s">
        <v>130</v>
      </c>
      <c r="Q31" t="s">
        <v>131</v>
      </c>
      <c r="R31" t="s">
        <v>132</v>
      </c>
      <c r="S31" t="s">
        <v>133</v>
      </c>
      <c r="T31">
        <v>2016</v>
      </c>
      <c r="U31">
        <v>14</v>
      </c>
      <c r="V31">
        <v>2</v>
      </c>
      <c r="W31">
        <v>8</v>
      </c>
      <c r="X31">
        <v>0</v>
      </c>
      <c r="Y31">
        <v>0</v>
      </c>
      <c r="Z31">
        <v>0</v>
      </c>
      <c r="AA31">
        <v>0</v>
      </c>
      <c r="AB31">
        <v>0</v>
      </c>
      <c r="AC31">
        <v>0</v>
      </c>
      <c r="AD31">
        <v>0</v>
      </c>
      <c r="AE31">
        <v>0</v>
      </c>
      <c r="AF31">
        <v>0</v>
      </c>
      <c r="AG31">
        <v>0</v>
      </c>
      <c r="AH31">
        <v>1</v>
      </c>
      <c r="AI31">
        <v>3</v>
      </c>
      <c r="AJ31">
        <v>6</v>
      </c>
      <c r="AK31">
        <v>4</v>
      </c>
    </row>
    <row r="32" spans="1:37" ht="204" hidden="1" x14ac:dyDescent="0.2">
      <c r="A32" s="2" t="s">
        <v>134</v>
      </c>
      <c r="B32" s="7" t="s">
        <v>484</v>
      </c>
      <c r="C32" s="2" t="s">
        <v>485</v>
      </c>
      <c r="F32" s="2" t="s">
        <v>135</v>
      </c>
      <c r="G32" s="2" t="s">
        <v>136</v>
      </c>
      <c r="H32" t="s">
        <v>137</v>
      </c>
      <c r="I32">
        <v>2011</v>
      </c>
      <c r="J32">
        <v>366</v>
      </c>
      <c r="K32">
        <v>1562</v>
      </c>
      <c r="N32">
        <v>276</v>
      </c>
      <c r="O32">
        <v>285</v>
      </c>
      <c r="Q32" t="s">
        <v>138</v>
      </c>
      <c r="T32">
        <v>14</v>
      </c>
      <c r="U32">
        <v>1</v>
      </c>
      <c r="V32">
        <v>27</v>
      </c>
      <c r="W32">
        <v>0</v>
      </c>
      <c r="X32">
        <v>0</v>
      </c>
      <c r="Y32">
        <v>0</v>
      </c>
      <c r="Z32">
        <v>1</v>
      </c>
      <c r="AA32">
        <v>1</v>
      </c>
      <c r="AB32">
        <v>3</v>
      </c>
      <c r="AC32">
        <v>0</v>
      </c>
      <c r="AD32">
        <v>1</v>
      </c>
      <c r="AE32">
        <v>1</v>
      </c>
      <c r="AF32">
        <v>4</v>
      </c>
      <c r="AG32">
        <v>1</v>
      </c>
      <c r="AH32">
        <v>0</v>
      </c>
      <c r="AI32">
        <v>2</v>
      </c>
      <c r="AJ32">
        <v>0</v>
      </c>
    </row>
    <row r="33" spans="1:36" ht="372" hidden="1" x14ac:dyDescent="0.2">
      <c r="A33" s="2" t="s">
        <v>139</v>
      </c>
      <c r="B33" s="7" t="s">
        <v>486</v>
      </c>
      <c r="C33" s="2" t="s">
        <v>458</v>
      </c>
      <c r="D33" s="2" t="s">
        <v>458</v>
      </c>
      <c r="E33" s="2" t="s">
        <v>458</v>
      </c>
      <c r="F33" s="2" t="s">
        <v>140</v>
      </c>
      <c r="G33" s="2" t="s">
        <v>141</v>
      </c>
      <c r="H33">
        <v>2010</v>
      </c>
      <c r="I33">
        <v>34</v>
      </c>
      <c r="J33">
        <v>1</v>
      </c>
      <c r="M33">
        <v>164</v>
      </c>
      <c r="N33">
        <v>168</v>
      </c>
      <c r="P33" t="s">
        <v>142</v>
      </c>
      <c r="S33">
        <v>14</v>
      </c>
      <c r="T33">
        <v>1</v>
      </c>
      <c r="U33">
        <v>17</v>
      </c>
      <c r="V33">
        <v>0</v>
      </c>
      <c r="W33">
        <v>0</v>
      </c>
      <c r="X33">
        <v>0</v>
      </c>
      <c r="Y33">
        <v>1</v>
      </c>
      <c r="Z33">
        <v>1</v>
      </c>
      <c r="AA33">
        <v>2</v>
      </c>
      <c r="AB33">
        <v>0</v>
      </c>
      <c r="AC33">
        <v>2</v>
      </c>
      <c r="AD33">
        <v>3</v>
      </c>
      <c r="AE33">
        <v>1</v>
      </c>
      <c r="AF33">
        <v>1</v>
      </c>
      <c r="AG33">
        <v>1</v>
      </c>
      <c r="AH33">
        <v>2</v>
      </c>
      <c r="AI33">
        <v>0</v>
      </c>
    </row>
    <row r="34" spans="1:36" s="14" customFormat="1" ht="51" hidden="1" x14ac:dyDescent="0.2">
      <c r="A34" s="6" t="s">
        <v>143</v>
      </c>
      <c r="B34" s="15" t="s">
        <v>487</v>
      </c>
      <c r="C34" s="6"/>
      <c r="D34" s="6"/>
      <c r="E34" s="6"/>
      <c r="F34" s="6" t="s">
        <v>69</v>
      </c>
      <c r="G34" s="6" t="s">
        <v>144</v>
      </c>
      <c r="H34" s="14">
        <v>2012</v>
      </c>
      <c r="I34" s="14">
        <v>88</v>
      </c>
      <c r="J34" s="14">
        <v>1040</v>
      </c>
      <c r="M34" s="14">
        <v>312</v>
      </c>
      <c r="N34" s="14">
        <v>316</v>
      </c>
      <c r="P34" s="14" t="s">
        <v>145</v>
      </c>
      <c r="S34" s="14">
        <v>13</v>
      </c>
      <c r="T34" s="14">
        <v>1</v>
      </c>
      <c r="U34" s="14">
        <v>3</v>
      </c>
      <c r="V34" s="14">
        <v>0</v>
      </c>
      <c r="W34" s="14">
        <v>0</v>
      </c>
      <c r="X34" s="14">
        <v>0</v>
      </c>
      <c r="Y34" s="14">
        <v>0</v>
      </c>
      <c r="Z34" s="14">
        <v>0</v>
      </c>
      <c r="AA34" s="14">
        <v>0</v>
      </c>
      <c r="AB34" s="14">
        <v>2</v>
      </c>
      <c r="AC34" s="14">
        <v>3</v>
      </c>
      <c r="AD34" s="14">
        <v>3</v>
      </c>
      <c r="AE34" s="14">
        <v>3</v>
      </c>
      <c r="AF34" s="14">
        <v>1</v>
      </c>
      <c r="AG34" s="14">
        <v>0</v>
      </c>
      <c r="AH34" s="14">
        <v>1</v>
      </c>
      <c r="AI34" s="14">
        <v>0</v>
      </c>
    </row>
    <row r="35" spans="1:36" ht="306" hidden="1" x14ac:dyDescent="0.2">
      <c r="A35" s="2" t="s">
        <v>146</v>
      </c>
      <c r="B35" s="7" t="s">
        <v>488</v>
      </c>
      <c r="C35" s="2" t="s">
        <v>458</v>
      </c>
      <c r="D35" s="2" t="s">
        <v>459</v>
      </c>
      <c r="E35" s="2" t="s">
        <v>459</v>
      </c>
      <c r="F35" s="2" t="s">
        <v>147</v>
      </c>
      <c r="G35" s="2" t="s">
        <v>22</v>
      </c>
      <c r="H35">
        <v>2010</v>
      </c>
      <c r="I35">
        <v>18</v>
      </c>
      <c r="O35">
        <v>13</v>
      </c>
      <c r="P35" t="s">
        <v>148</v>
      </c>
      <c r="S35">
        <v>13</v>
      </c>
      <c r="T35">
        <v>1</v>
      </c>
      <c r="U35">
        <v>8</v>
      </c>
      <c r="V35">
        <v>0</v>
      </c>
      <c r="W35">
        <v>0</v>
      </c>
      <c r="X35">
        <v>0</v>
      </c>
      <c r="Y35">
        <v>1</v>
      </c>
      <c r="Z35">
        <v>1</v>
      </c>
      <c r="AA35">
        <v>2</v>
      </c>
      <c r="AB35">
        <v>2</v>
      </c>
      <c r="AC35">
        <v>2</v>
      </c>
      <c r="AD35">
        <v>2</v>
      </c>
      <c r="AE35">
        <v>0</v>
      </c>
      <c r="AF35">
        <v>2</v>
      </c>
      <c r="AG35">
        <v>0</v>
      </c>
      <c r="AH35">
        <v>0</v>
      </c>
      <c r="AI35">
        <v>1</v>
      </c>
    </row>
    <row r="36" spans="1:36" ht="404" hidden="1" x14ac:dyDescent="0.2">
      <c r="A36" s="2" t="s">
        <v>149</v>
      </c>
      <c r="B36" s="16" t="s">
        <v>489</v>
      </c>
      <c r="C36" s="2" t="s">
        <v>490</v>
      </c>
      <c r="D36" s="2" t="s">
        <v>458</v>
      </c>
      <c r="E36" s="2" t="s">
        <v>458</v>
      </c>
      <c r="F36" s="2" t="s">
        <v>150</v>
      </c>
      <c r="G36" s="2" t="s">
        <v>151</v>
      </c>
      <c r="H36">
        <v>2015</v>
      </c>
      <c r="I36">
        <v>15</v>
      </c>
      <c r="J36">
        <v>6</v>
      </c>
      <c r="M36">
        <v>430</v>
      </c>
      <c r="N36">
        <v>436</v>
      </c>
      <c r="P36" t="s">
        <v>152</v>
      </c>
      <c r="S36">
        <v>12</v>
      </c>
      <c r="T36">
        <v>1</v>
      </c>
      <c r="U36">
        <v>71</v>
      </c>
      <c r="V36">
        <v>0</v>
      </c>
      <c r="W36">
        <v>0</v>
      </c>
      <c r="X36">
        <v>0</v>
      </c>
      <c r="Y36">
        <v>0</v>
      </c>
      <c r="Z36">
        <v>0</v>
      </c>
      <c r="AA36">
        <v>0</v>
      </c>
      <c r="AB36">
        <v>0</v>
      </c>
      <c r="AC36">
        <v>0</v>
      </c>
      <c r="AD36">
        <v>1</v>
      </c>
      <c r="AE36">
        <v>1</v>
      </c>
      <c r="AF36">
        <v>2</v>
      </c>
      <c r="AG36">
        <v>5</v>
      </c>
      <c r="AH36">
        <v>2</v>
      </c>
      <c r="AI36">
        <v>1</v>
      </c>
    </row>
    <row r="37" spans="1:36" ht="409.5" hidden="1" x14ac:dyDescent="0.2">
      <c r="A37" s="2" t="s">
        <v>153</v>
      </c>
      <c r="B37" s="7" t="s">
        <v>492</v>
      </c>
      <c r="C37" s="2" t="s">
        <v>491</v>
      </c>
      <c r="D37" s="2" t="s">
        <v>459</v>
      </c>
      <c r="E37" s="2" t="s">
        <v>459</v>
      </c>
      <c r="F37" s="2" t="s">
        <v>154</v>
      </c>
      <c r="G37" s="2" t="s">
        <v>155</v>
      </c>
      <c r="H37">
        <v>2013</v>
      </c>
      <c r="I37">
        <v>154</v>
      </c>
      <c r="J37">
        <v>2</v>
      </c>
      <c r="M37">
        <v>345</v>
      </c>
      <c r="N37">
        <v>350</v>
      </c>
      <c r="P37" t="s">
        <v>156</v>
      </c>
      <c r="S37">
        <v>12</v>
      </c>
      <c r="T37">
        <v>1</v>
      </c>
      <c r="U37">
        <v>33</v>
      </c>
      <c r="V37">
        <v>0</v>
      </c>
      <c r="W37">
        <v>0</v>
      </c>
      <c r="X37">
        <v>0</v>
      </c>
      <c r="Y37">
        <v>0</v>
      </c>
      <c r="Z37">
        <v>0</v>
      </c>
      <c r="AA37">
        <v>0</v>
      </c>
      <c r="AB37">
        <v>1</v>
      </c>
      <c r="AC37">
        <v>3</v>
      </c>
      <c r="AD37">
        <v>4</v>
      </c>
      <c r="AE37">
        <v>2</v>
      </c>
      <c r="AF37">
        <v>1</v>
      </c>
      <c r="AG37">
        <v>1</v>
      </c>
      <c r="AH37">
        <v>0</v>
      </c>
      <c r="AI37">
        <v>0</v>
      </c>
    </row>
    <row r="38" spans="1:36" s="14" customFormat="1" ht="102" hidden="1" x14ac:dyDescent="0.2">
      <c r="A38" s="6" t="s">
        <v>157</v>
      </c>
      <c r="B38" s="13" t="s">
        <v>493</v>
      </c>
      <c r="C38" s="6"/>
      <c r="D38" s="6"/>
      <c r="E38" s="6"/>
      <c r="F38" s="6" t="s">
        <v>158</v>
      </c>
      <c r="G38" s="6" t="s">
        <v>159</v>
      </c>
      <c r="H38" s="14">
        <v>2020</v>
      </c>
      <c r="I38" s="14">
        <v>102</v>
      </c>
      <c r="J38" s="14">
        <v>6</v>
      </c>
      <c r="O38" s="14" t="s">
        <v>160</v>
      </c>
      <c r="P38" s="14" t="s">
        <v>161</v>
      </c>
      <c r="S38" s="14">
        <v>11</v>
      </c>
      <c r="T38" s="14">
        <v>5</v>
      </c>
      <c r="U38" s="14">
        <v>5</v>
      </c>
      <c r="V38" s="14">
        <v>0</v>
      </c>
      <c r="W38" s="14">
        <v>0</v>
      </c>
      <c r="X38" s="14">
        <v>0</v>
      </c>
      <c r="Y38" s="14">
        <v>0</v>
      </c>
      <c r="Z38" s="14">
        <v>0</v>
      </c>
      <c r="AA38" s="14">
        <v>0</v>
      </c>
      <c r="AB38" s="14">
        <v>0</v>
      </c>
      <c r="AC38" s="14">
        <v>0</v>
      </c>
      <c r="AD38" s="14">
        <v>0</v>
      </c>
      <c r="AE38" s="14">
        <v>0</v>
      </c>
      <c r="AF38" s="14">
        <v>0</v>
      </c>
      <c r="AG38" s="14">
        <v>0</v>
      </c>
      <c r="AH38" s="14">
        <v>8</v>
      </c>
      <c r="AI38" s="14">
        <v>3</v>
      </c>
    </row>
    <row r="39" spans="1:36" ht="372" hidden="1" x14ac:dyDescent="0.2">
      <c r="A39" s="2" t="s">
        <v>162</v>
      </c>
      <c r="B39" s="7" t="s">
        <v>494</v>
      </c>
      <c r="C39" s="2" t="s">
        <v>458</v>
      </c>
      <c r="D39" s="2" t="s">
        <v>458</v>
      </c>
      <c r="E39" s="2" t="s">
        <v>459</v>
      </c>
      <c r="F39" s="2" t="s">
        <v>163</v>
      </c>
      <c r="G39" s="2" t="s">
        <v>164</v>
      </c>
      <c r="H39">
        <v>2013</v>
      </c>
      <c r="I39">
        <v>39</v>
      </c>
      <c r="J39">
        <v>5</v>
      </c>
      <c r="M39">
        <v>517</v>
      </c>
      <c r="N39">
        <v>522</v>
      </c>
      <c r="P39" t="s">
        <v>165</v>
      </c>
      <c r="S39">
        <v>11</v>
      </c>
      <c r="T39">
        <v>1</v>
      </c>
      <c r="U39">
        <v>22</v>
      </c>
      <c r="V39">
        <v>0</v>
      </c>
      <c r="W39">
        <v>0</v>
      </c>
      <c r="X39">
        <v>0</v>
      </c>
      <c r="Y39">
        <v>0</v>
      </c>
      <c r="Z39">
        <v>0</v>
      </c>
      <c r="AA39">
        <v>0</v>
      </c>
      <c r="AB39">
        <v>3</v>
      </c>
      <c r="AC39">
        <v>2</v>
      </c>
      <c r="AD39">
        <v>1</v>
      </c>
      <c r="AE39">
        <v>4</v>
      </c>
      <c r="AF39">
        <v>1</v>
      </c>
      <c r="AG39">
        <v>0</v>
      </c>
      <c r="AH39">
        <v>0</v>
      </c>
      <c r="AI39">
        <v>0</v>
      </c>
    </row>
    <row r="40" spans="1:36" ht="409.5" hidden="1" x14ac:dyDescent="0.2">
      <c r="A40" s="2" t="s">
        <v>166</v>
      </c>
      <c r="B40" s="7" t="s">
        <v>495</v>
      </c>
      <c r="C40" s="2" t="s">
        <v>496</v>
      </c>
      <c r="D40" s="2" t="s">
        <v>458</v>
      </c>
      <c r="E40" s="2" t="s">
        <v>458</v>
      </c>
      <c r="F40" s="2" t="s">
        <v>167</v>
      </c>
      <c r="G40" s="2" t="s">
        <v>164</v>
      </c>
      <c r="H40">
        <v>2014</v>
      </c>
      <c r="I40">
        <v>40</v>
      </c>
      <c r="J40">
        <v>4</v>
      </c>
      <c r="M40">
        <v>429</v>
      </c>
      <c r="N40">
        <v>443</v>
      </c>
      <c r="P40" t="s">
        <v>168</v>
      </c>
      <c r="S40">
        <v>10</v>
      </c>
      <c r="T40">
        <v>1</v>
      </c>
      <c r="U40">
        <v>25</v>
      </c>
      <c r="V40">
        <v>0</v>
      </c>
      <c r="W40">
        <v>0</v>
      </c>
      <c r="X40">
        <v>0</v>
      </c>
      <c r="Y40">
        <v>0</v>
      </c>
      <c r="Z40">
        <v>0</v>
      </c>
      <c r="AA40">
        <v>0</v>
      </c>
      <c r="AB40">
        <v>1</v>
      </c>
      <c r="AC40">
        <v>1</v>
      </c>
      <c r="AD40">
        <v>1</v>
      </c>
      <c r="AE40">
        <v>2</v>
      </c>
      <c r="AF40">
        <v>1</v>
      </c>
      <c r="AG40">
        <v>0</v>
      </c>
      <c r="AH40">
        <v>4</v>
      </c>
      <c r="AI40">
        <v>0</v>
      </c>
    </row>
    <row r="41" spans="1:36" s="14" customFormat="1" ht="51" hidden="1" x14ac:dyDescent="0.2">
      <c r="A41" s="6" t="s">
        <v>169</v>
      </c>
      <c r="B41" s="13" t="s">
        <v>497</v>
      </c>
      <c r="C41" s="6"/>
      <c r="D41" s="6"/>
      <c r="E41" s="6"/>
      <c r="F41" s="6" t="s">
        <v>170</v>
      </c>
      <c r="G41" s="6" t="s">
        <v>141</v>
      </c>
      <c r="H41" s="14">
        <v>2014</v>
      </c>
      <c r="I41" s="14">
        <v>38</v>
      </c>
      <c r="J41" s="14">
        <v>6</v>
      </c>
      <c r="M41" s="14">
        <v>1405</v>
      </c>
      <c r="N41" s="14">
        <v>1410</v>
      </c>
      <c r="P41" s="14" t="s">
        <v>171</v>
      </c>
      <c r="Q41" s="14" t="s">
        <v>172</v>
      </c>
      <c r="R41" s="14" t="s">
        <v>173</v>
      </c>
      <c r="S41" s="14">
        <v>2012</v>
      </c>
      <c r="T41" s="14">
        <v>10</v>
      </c>
      <c r="U41" s="14">
        <v>1</v>
      </c>
      <c r="V41" s="14">
        <v>25</v>
      </c>
      <c r="W41" s="14">
        <v>0</v>
      </c>
      <c r="X41" s="14">
        <v>0</v>
      </c>
      <c r="Y41" s="14">
        <v>0</v>
      </c>
      <c r="Z41" s="14">
        <v>0</v>
      </c>
      <c r="AA41" s="14">
        <v>0</v>
      </c>
      <c r="AB41" s="14">
        <v>0</v>
      </c>
      <c r="AC41" s="14">
        <v>1</v>
      </c>
      <c r="AD41" s="14">
        <v>0</v>
      </c>
      <c r="AE41" s="14">
        <v>2</v>
      </c>
      <c r="AF41" s="14">
        <v>3</v>
      </c>
      <c r="AG41" s="14">
        <v>1</v>
      </c>
      <c r="AH41" s="14">
        <v>1</v>
      </c>
      <c r="AI41" s="14">
        <v>1</v>
      </c>
      <c r="AJ41" s="14">
        <v>1</v>
      </c>
    </row>
    <row r="42" spans="1:36" s="14" customFormat="1" ht="51" hidden="1" x14ac:dyDescent="0.2">
      <c r="A42" s="6" t="s">
        <v>174</v>
      </c>
      <c r="B42" s="13" t="s">
        <v>498</v>
      </c>
      <c r="C42" s="6"/>
      <c r="D42" s="6"/>
      <c r="E42" s="6"/>
      <c r="F42" s="6" t="s">
        <v>175</v>
      </c>
      <c r="G42" s="6" t="s">
        <v>176</v>
      </c>
      <c r="H42" s="14">
        <v>2013</v>
      </c>
      <c r="I42" s="14">
        <v>178</v>
      </c>
      <c r="J42" s="14">
        <v>10</v>
      </c>
      <c r="K42" s="14" t="s">
        <v>177</v>
      </c>
      <c r="L42" s="14" t="s">
        <v>31</v>
      </c>
      <c r="M42" s="14">
        <v>1</v>
      </c>
      <c r="N42" s="14">
        <v>6</v>
      </c>
      <c r="P42" s="14" t="s">
        <v>178</v>
      </c>
      <c r="S42" s="14">
        <v>10</v>
      </c>
      <c r="T42" s="14">
        <v>1</v>
      </c>
      <c r="U42" s="14">
        <v>11</v>
      </c>
      <c r="V42" s="14">
        <v>0</v>
      </c>
      <c r="W42" s="14">
        <v>0</v>
      </c>
      <c r="X42" s="14">
        <v>0</v>
      </c>
      <c r="Y42" s="14">
        <v>0</v>
      </c>
      <c r="Z42" s="14">
        <v>0</v>
      </c>
      <c r="AA42" s="14">
        <v>0</v>
      </c>
      <c r="AB42" s="14">
        <v>2</v>
      </c>
      <c r="AC42" s="14">
        <v>1</v>
      </c>
      <c r="AD42" s="14">
        <v>4</v>
      </c>
      <c r="AE42" s="14">
        <v>1</v>
      </c>
      <c r="AF42" s="14">
        <v>0</v>
      </c>
      <c r="AG42" s="14">
        <v>2</v>
      </c>
      <c r="AH42" s="14">
        <v>0</v>
      </c>
      <c r="AI42" s="14">
        <v>0</v>
      </c>
    </row>
    <row r="43" spans="1:36" s="12" customFormat="1" ht="409.5" hidden="1" x14ac:dyDescent="0.2">
      <c r="A43" s="10" t="s">
        <v>179</v>
      </c>
      <c r="B43" s="11" t="s">
        <v>499</v>
      </c>
      <c r="C43" s="10" t="s">
        <v>458</v>
      </c>
      <c r="D43" s="10" t="s">
        <v>458</v>
      </c>
      <c r="E43" s="10" t="s">
        <v>459</v>
      </c>
      <c r="F43" s="10" t="s">
        <v>180</v>
      </c>
      <c r="G43" s="10" t="s">
        <v>181</v>
      </c>
      <c r="H43" s="12">
        <v>2013</v>
      </c>
      <c r="I43" s="12">
        <v>29</v>
      </c>
      <c r="J43" s="12">
        <v>5</v>
      </c>
      <c r="M43" s="12">
        <v>1265</v>
      </c>
      <c r="N43" s="12">
        <v>1268</v>
      </c>
      <c r="S43" s="12">
        <v>10</v>
      </c>
      <c r="T43" s="12">
        <v>1</v>
      </c>
      <c r="U43" s="12">
        <v>11</v>
      </c>
      <c r="V43" s="12">
        <v>0</v>
      </c>
      <c r="W43" s="12">
        <v>0</v>
      </c>
      <c r="X43" s="12">
        <v>0</v>
      </c>
      <c r="Y43" s="12">
        <v>0</v>
      </c>
      <c r="Z43" s="12">
        <v>0</v>
      </c>
      <c r="AA43" s="12">
        <v>0</v>
      </c>
      <c r="AB43" s="12">
        <v>0</v>
      </c>
      <c r="AC43" s="12">
        <v>1</v>
      </c>
      <c r="AD43" s="12">
        <v>1</v>
      </c>
      <c r="AE43" s="12">
        <v>2</v>
      </c>
      <c r="AF43" s="12">
        <v>2</v>
      </c>
      <c r="AG43" s="12">
        <v>1</v>
      </c>
      <c r="AH43" s="12">
        <v>3</v>
      </c>
      <c r="AI43" s="12">
        <v>0</v>
      </c>
    </row>
    <row r="44" spans="1:36" ht="215" hidden="1" customHeight="1" x14ac:dyDescent="0.2">
      <c r="A44" s="2" t="s">
        <v>182</v>
      </c>
      <c r="B44" s="7" t="s">
        <v>500</v>
      </c>
      <c r="C44" s="2" t="s">
        <v>458</v>
      </c>
      <c r="D44" s="2" t="s">
        <v>458</v>
      </c>
      <c r="E44" s="2" t="s">
        <v>459</v>
      </c>
      <c r="F44" s="2" t="s">
        <v>183</v>
      </c>
      <c r="G44" s="2" t="s">
        <v>184</v>
      </c>
      <c r="H44">
        <v>2010</v>
      </c>
      <c r="I44">
        <v>162</v>
      </c>
      <c r="J44">
        <v>1</v>
      </c>
      <c r="M44">
        <v>7</v>
      </c>
      <c r="N44">
        <v>10</v>
      </c>
      <c r="P44" t="s">
        <v>185</v>
      </c>
      <c r="S44">
        <v>10</v>
      </c>
      <c r="T44">
        <v>0</v>
      </c>
      <c r="U44">
        <v>83</v>
      </c>
      <c r="V44">
        <v>0</v>
      </c>
      <c r="W44">
        <v>0</v>
      </c>
      <c r="X44">
        <v>0</v>
      </c>
      <c r="Y44">
        <v>1</v>
      </c>
      <c r="Z44">
        <v>1</v>
      </c>
      <c r="AA44">
        <v>2</v>
      </c>
      <c r="AB44">
        <v>1</v>
      </c>
      <c r="AC44">
        <v>2</v>
      </c>
      <c r="AD44">
        <v>1</v>
      </c>
      <c r="AE44">
        <v>1</v>
      </c>
      <c r="AF44">
        <v>0</v>
      </c>
      <c r="AG44">
        <v>1</v>
      </c>
      <c r="AH44">
        <v>0</v>
      </c>
      <c r="AI44">
        <v>0</v>
      </c>
    </row>
    <row r="45" spans="1:36" ht="408" hidden="1" customHeight="1" x14ac:dyDescent="0.2">
      <c r="A45" s="2" t="s">
        <v>186</v>
      </c>
      <c r="B45" s="7" t="s">
        <v>501</v>
      </c>
      <c r="C45" s="2" t="s">
        <v>458</v>
      </c>
      <c r="D45" s="2" t="s">
        <v>458</v>
      </c>
      <c r="E45" s="2" t="s">
        <v>459</v>
      </c>
      <c r="F45" s="2" t="s">
        <v>187</v>
      </c>
      <c r="G45" s="2" t="s">
        <v>188</v>
      </c>
      <c r="H45">
        <v>2018</v>
      </c>
      <c r="I45">
        <v>9</v>
      </c>
      <c r="M45">
        <v>86</v>
      </c>
      <c r="N45">
        <v>92</v>
      </c>
      <c r="P45" t="s">
        <v>189</v>
      </c>
      <c r="S45">
        <v>9</v>
      </c>
      <c r="T45">
        <v>2</v>
      </c>
      <c r="U45">
        <v>25</v>
      </c>
      <c r="V45">
        <v>0</v>
      </c>
      <c r="W45">
        <v>0</v>
      </c>
      <c r="X45">
        <v>0</v>
      </c>
      <c r="Y45">
        <v>0</v>
      </c>
      <c r="Z45">
        <v>0</v>
      </c>
      <c r="AA45">
        <v>0</v>
      </c>
      <c r="AB45">
        <v>0</v>
      </c>
      <c r="AC45">
        <v>0</v>
      </c>
      <c r="AD45">
        <v>0</v>
      </c>
      <c r="AE45">
        <v>0</v>
      </c>
      <c r="AF45">
        <v>0</v>
      </c>
      <c r="AG45">
        <v>4</v>
      </c>
      <c r="AH45">
        <v>5</v>
      </c>
      <c r="AI45">
        <v>0</v>
      </c>
    </row>
    <row r="46" spans="1:36" ht="272" hidden="1" x14ac:dyDescent="0.2">
      <c r="A46" s="2" t="s">
        <v>190</v>
      </c>
      <c r="B46" s="7" t="s">
        <v>502</v>
      </c>
      <c r="F46" s="2" t="s">
        <v>191</v>
      </c>
      <c r="G46" s="2" t="s">
        <v>184</v>
      </c>
      <c r="H46">
        <v>2015</v>
      </c>
      <c r="I46">
        <v>197</v>
      </c>
      <c r="J46">
        <v>2</v>
      </c>
      <c r="M46">
        <v>331</v>
      </c>
      <c r="N46">
        <v>338</v>
      </c>
      <c r="P46" t="s">
        <v>192</v>
      </c>
      <c r="S46">
        <v>9</v>
      </c>
      <c r="T46">
        <v>1</v>
      </c>
      <c r="U46">
        <v>29</v>
      </c>
      <c r="V46">
        <v>0</v>
      </c>
      <c r="W46">
        <v>0</v>
      </c>
      <c r="X46">
        <v>0</v>
      </c>
      <c r="Y46">
        <v>0</v>
      </c>
      <c r="Z46">
        <v>0</v>
      </c>
      <c r="AA46">
        <v>0</v>
      </c>
      <c r="AB46">
        <v>0</v>
      </c>
      <c r="AC46">
        <v>0</v>
      </c>
      <c r="AD46">
        <v>3</v>
      </c>
      <c r="AE46">
        <v>0</v>
      </c>
      <c r="AF46">
        <v>0</v>
      </c>
      <c r="AG46">
        <v>2</v>
      </c>
      <c r="AH46">
        <v>4</v>
      </c>
      <c r="AI46">
        <v>0</v>
      </c>
    </row>
    <row r="47" spans="1:36" s="14" customFormat="1" ht="34" hidden="1" x14ac:dyDescent="0.2">
      <c r="A47" s="6" t="s">
        <v>193</v>
      </c>
      <c r="B47" s="13" t="s">
        <v>503</v>
      </c>
      <c r="C47" s="6"/>
      <c r="D47" s="6"/>
      <c r="E47" s="6"/>
      <c r="F47" s="6" t="s">
        <v>194</v>
      </c>
      <c r="G47" s="6" t="s">
        <v>195</v>
      </c>
      <c r="H47" s="14">
        <v>2013</v>
      </c>
      <c r="I47" s="14">
        <v>13</v>
      </c>
      <c r="O47" s="14">
        <v>110</v>
      </c>
      <c r="P47" s="14" t="s">
        <v>196</v>
      </c>
      <c r="S47" s="14">
        <v>9</v>
      </c>
      <c r="T47" s="14">
        <v>1</v>
      </c>
      <c r="U47" s="14">
        <v>0</v>
      </c>
      <c r="V47" s="14">
        <v>0</v>
      </c>
      <c r="W47" s="14">
        <v>0</v>
      </c>
      <c r="X47" s="14">
        <v>0</v>
      </c>
      <c r="Y47" s="14">
        <v>0</v>
      </c>
      <c r="Z47" s="14">
        <v>0</v>
      </c>
      <c r="AA47" s="14">
        <v>2</v>
      </c>
      <c r="AB47" s="14">
        <v>1</v>
      </c>
      <c r="AC47" s="14">
        <v>3</v>
      </c>
      <c r="AD47" s="14">
        <v>0</v>
      </c>
      <c r="AE47" s="14">
        <v>0</v>
      </c>
      <c r="AF47" s="14">
        <v>1</v>
      </c>
      <c r="AG47" s="14">
        <v>2</v>
      </c>
      <c r="AH47" s="14">
        <v>0</v>
      </c>
    </row>
    <row r="48" spans="1:36" ht="306" hidden="1" x14ac:dyDescent="0.2">
      <c r="A48" s="2" t="s">
        <v>197</v>
      </c>
      <c r="B48" s="7" t="s">
        <v>504</v>
      </c>
      <c r="C48" s="2" t="s">
        <v>458</v>
      </c>
      <c r="D48" s="2" t="s">
        <v>458</v>
      </c>
      <c r="E48" s="2" t="s">
        <v>458</v>
      </c>
      <c r="F48" s="2" t="s">
        <v>198</v>
      </c>
      <c r="G48" s="2" t="s">
        <v>18</v>
      </c>
      <c r="H48">
        <v>2014</v>
      </c>
      <c r="I48">
        <v>45</v>
      </c>
      <c r="J48">
        <v>5</v>
      </c>
      <c r="M48">
        <v>817</v>
      </c>
      <c r="N48">
        <v>818</v>
      </c>
      <c r="P48" t="s">
        <v>199</v>
      </c>
      <c r="S48">
        <v>8</v>
      </c>
      <c r="T48">
        <v>1</v>
      </c>
      <c r="U48">
        <v>0</v>
      </c>
      <c r="V48">
        <v>0</v>
      </c>
      <c r="W48">
        <v>0</v>
      </c>
      <c r="X48">
        <v>0</v>
      </c>
      <c r="Y48">
        <v>0</v>
      </c>
      <c r="Z48">
        <v>0</v>
      </c>
      <c r="AA48">
        <v>1</v>
      </c>
      <c r="AB48">
        <v>0</v>
      </c>
      <c r="AC48">
        <v>2</v>
      </c>
      <c r="AD48">
        <v>1</v>
      </c>
      <c r="AE48">
        <v>1</v>
      </c>
      <c r="AF48">
        <v>0</v>
      </c>
      <c r="AG48">
        <v>3</v>
      </c>
      <c r="AH48">
        <v>0</v>
      </c>
    </row>
    <row r="49" spans="1:38" ht="255" hidden="1" x14ac:dyDescent="0.2">
      <c r="A49" s="2" t="s">
        <v>200</v>
      </c>
      <c r="B49" s="7" t="s">
        <v>505</v>
      </c>
      <c r="C49" s="2" t="s">
        <v>506</v>
      </c>
      <c r="D49" s="2" t="s">
        <v>458</v>
      </c>
      <c r="E49" s="2" t="s">
        <v>459</v>
      </c>
      <c r="F49" s="2" t="s">
        <v>201</v>
      </c>
      <c r="G49" s="2" t="s">
        <v>202</v>
      </c>
      <c r="H49">
        <v>2018</v>
      </c>
      <c r="I49">
        <v>25</v>
      </c>
      <c r="J49">
        <v>2</v>
      </c>
      <c r="L49" t="s">
        <v>31</v>
      </c>
      <c r="M49">
        <v>144</v>
      </c>
      <c r="N49">
        <v>147</v>
      </c>
      <c r="P49" t="s">
        <v>203</v>
      </c>
      <c r="Q49" t="s">
        <v>204</v>
      </c>
      <c r="R49" t="s">
        <v>205</v>
      </c>
      <c r="S49" t="s">
        <v>206</v>
      </c>
      <c r="T49" s="1">
        <v>42491</v>
      </c>
      <c r="U49">
        <v>2017</v>
      </c>
      <c r="V49">
        <v>7</v>
      </c>
      <c r="W49">
        <v>1</v>
      </c>
      <c r="X49">
        <v>75</v>
      </c>
      <c r="Y49">
        <v>0</v>
      </c>
      <c r="Z49">
        <v>0</v>
      </c>
      <c r="AA49">
        <v>0</v>
      </c>
      <c r="AB49">
        <v>0</v>
      </c>
      <c r="AC49">
        <v>0</v>
      </c>
      <c r="AD49">
        <v>0</v>
      </c>
      <c r="AE49">
        <v>0</v>
      </c>
      <c r="AF49">
        <v>0</v>
      </c>
      <c r="AG49">
        <v>0</v>
      </c>
      <c r="AH49">
        <v>0</v>
      </c>
      <c r="AI49">
        <v>0</v>
      </c>
      <c r="AJ49">
        <v>2</v>
      </c>
      <c r="AK49">
        <v>3</v>
      </c>
      <c r="AL49">
        <v>2</v>
      </c>
    </row>
    <row r="50" spans="1:38" ht="409.5" hidden="1" x14ac:dyDescent="0.2">
      <c r="A50" s="2" t="s">
        <v>207</v>
      </c>
      <c r="B50" s="7" t="s">
        <v>507</v>
      </c>
      <c r="C50" s="2" t="s">
        <v>458</v>
      </c>
      <c r="D50" s="2" t="s">
        <v>459</v>
      </c>
      <c r="E50" s="2" t="s">
        <v>458</v>
      </c>
      <c r="F50" s="2" t="s">
        <v>208</v>
      </c>
      <c r="G50" s="2" t="s">
        <v>209</v>
      </c>
      <c r="H50" t="s">
        <v>155</v>
      </c>
      <c r="I50">
        <v>2017</v>
      </c>
      <c r="J50">
        <v>162</v>
      </c>
      <c r="K50">
        <v>1</v>
      </c>
      <c r="N50">
        <v>174</v>
      </c>
      <c r="O50">
        <v>181</v>
      </c>
      <c r="Q50" t="s">
        <v>210</v>
      </c>
      <c r="T50">
        <v>7</v>
      </c>
      <c r="U50">
        <v>1</v>
      </c>
      <c r="V50">
        <v>4</v>
      </c>
      <c r="W50">
        <v>0</v>
      </c>
      <c r="X50">
        <v>0</v>
      </c>
      <c r="Y50">
        <v>0</v>
      </c>
      <c r="Z50">
        <v>0</v>
      </c>
      <c r="AA50">
        <v>0</v>
      </c>
      <c r="AB50">
        <v>0</v>
      </c>
      <c r="AC50">
        <v>0</v>
      </c>
      <c r="AD50">
        <v>0</v>
      </c>
      <c r="AE50">
        <v>0</v>
      </c>
      <c r="AF50">
        <v>0</v>
      </c>
      <c r="AG50">
        <v>3</v>
      </c>
      <c r="AH50">
        <v>2</v>
      </c>
      <c r="AI50">
        <v>1</v>
      </c>
      <c r="AJ50">
        <v>1</v>
      </c>
    </row>
    <row r="51" spans="1:38" s="14" customFormat="1" ht="17" hidden="1" x14ac:dyDescent="0.2">
      <c r="A51" s="6" t="s">
        <v>211</v>
      </c>
      <c r="B51" s="13" t="s">
        <v>554</v>
      </c>
      <c r="C51" s="6"/>
      <c r="D51" s="6"/>
      <c r="E51" s="6"/>
      <c r="F51" s="6" t="s">
        <v>212</v>
      </c>
      <c r="G51" s="6" t="s">
        <v>213</v>
      </c>
      <c r="H51" s="14">
        <v>2016</v>
      </c>
      <c r="I51" s="14">
        <v>19</v>
      </c>
      <c r="J51" s="14">
        <v>7</v>
      </c>
      <c r="M51" s="14">
        <v>533</v>
      </c>
      <c r="N51" s="14">
        <v>539</v>
      </c>
      <c r="P51" s="14" t="s">
        <v>214</v>
      </c>
      <c r="S51" s="14">
        <v>7</v>
      </c>
      <c r="T51" s="14">
        <v>1</v>
      </c>
      <c r="U51" s="14">
        <v>17</v>
      </c>
      <c r="V51" s="14">
        <v>0</v>
      </c>
      <c r="W51" s="14">
        <v>0</v>
      </c>
      <c r="X51" s="14">
        <v>0</v>
      </c>
      <c r="Y51" s="14">
        <v>0</v>
      </c>
      <c r="Z51" s="14">
        <v>0</v>
      </c>
      <c r="AA51" s="14">
        <v>0</v>
      </c>
      <c r="AB51" s="14">
        <v>0</v>
      </c>
      <c r="AC51" s="14">
        <v>0</v>
      </c>
      <c r="AD51" s="14">
        <v>0</v>
      </c>
      <c r="AE51" s="14">
        <v>3</v>
      </c>
      <c r="AF51" s="14">
        <v>4</v>
      </c>
      <c r="AG51" s="14">
        <v>0</v>
      </c>
      <c r="AH51" s="14">
        <v>0</v>
      </c>
      <c r="AI51" s="14">
        <v>0</v>
      </c>
    </row>
    <row r="52" spans="1:38" ht="340" hidden="1" x14ac:dyDescent="0.2">
      <c r="A52" s="2" t="s">
        <v>215</v>
      </c>
      <c r="B52" s="7" t="s">
        <v>508</v>
      </c>
      <c r="F52" s="2" t="s">
        <v>216</v>
      </c>
      <c r="G52" s="2" t="s">
        <v>217</v>
      </c>
      <c r="H52">
        <v>2016</v>
      </c>
      <c r="I52">
        <v>8</v>
      </c>
      <c r="J52">
        <v>1</v>
      </c>
      <c r="O52" t="s">
        <v>218</v>
      </c>
      <c r="P52" t="s">
        <v>219</v>
      </c>
      <c r="S52">
        <v>7</v>
      </c>
      <c r="T52">
        <v>1</v>
      </c>
      <c r="U52">
        <v>17</v>
      </c>
      <c r="V52">
        <v>0</v>
      </c>
      <c r="W52">
        <v>0</v>
      </c>
      <c r="X52">
        <v>0</v>
      </c>
      <c r="Y52">
        <v>0</v>
      </c>
      <c r="Z52">
        <v>0</v>
      </c>
      <c r="AA52">
        <v>0</v>
      </c>
      <c r="AB52">
        <v>0</v>
      </c>
      <c r="AC52">
        <v>0</v>
      </c>
      <c r="AD52">
        <v>0</v>
      </c>
      <c r="AE52">
        <v>1</v>
      </c>
      <c r="AF52">
        <v>3</v>
      </c>
      <c r="AG52">
        <v>1</v>
      </c>
      <c r="AH52">
        <v>2</v>
      </c>
      <c r="AI52">
        <v>0</v>
      </c>
    </row>
    <row r="53" spans="1:38" ht="34" hidden="1" x14ac:dyDescent="0.2">
      <c r="A53" s="2" t="s">
        <v>220</v>
      </c>
      <c r="B53" s="16" t="s">
        <v>562</v>
      </c>
      <c r="F53" s="2" t="s">
        <v>221</v>
      </c>
      <c r="G53" s="2" t="s">
        <v>222</v>
      </c>
      <c r="H53">
        <v>2015</v>
      </c>
      <c r="I53">
        <v>10</v>
      </c>
      <c r="J53">
        <v>2</v>
      </c>
      <c r="M53">
        <v>93</v>
      </c>
      <c r="N53">
        <v>107</v>
      </c>
      <c r="P53" t="s">
        <v>223</v>
      </c>
      <c r="S53">
        <v>7</v>
      </c>
      <c r="T53">
        <v>1</v>
      </c>
      <c r="U53">
        <v>0</v>
      </c>
      <c r="V53">
        <v>0</v>
      </c>
      <c r="W53">
        <v>0</v>
      </c>
      <c r="X53">
        <v>0</v>
      </c>
      <c r="Y53">
        <v>0</v>
      </c>
      <c r="Z53">
        <v>0</v>
      </c>
      <c r="AA53">
        <v>0</v>
      </c>
      <c r="AB53">
        <v>0</v>
      </c>
      <c r="AC53">
        <v>0</v>
      </c>
      <c r="AD53">
        <v>3</v>
      </c>
      <c r="AE53">
        <v>1</v>
      </c>
      <c r="AF53">
        <v>1</v>
      </c>
      <c r="AG53">
        <v>2</v>
      </c>
      <c r="AH53">
        <v>0</v>
      </c>
    </row>
    <row r="54" spans="1:38" s="14" customFormat="1" ht="34" hidden="1" x14ac:dyDescent="0.2">
      <c r="A54" s="6" t="s">
        <v>224</v>
      </c>
      <c r="B54" s="13" t="s">
        <v>554</v>
      </c>
      <c r="C54" s="6"/>
      <c r="D54" s="6"/>
      <c r="E54" s="6"/>
      <c r="F54" s="6" t="s">
        <v>225</v>
      </c>
      <c r="G54" s="6" t="s">
        <v>213</v>
      </c>
      <c r="H54" s="14">
        <v>2014</v>
      </c>
      <c r="I54" s="14">
        <v>17</v>
      </c>
      <c r="J54" s="14">
        <v>7</v>
      </c>
      <c r="M54" s="14">
        <v>593</v>
      </c>
      <c r="N54" s="14">
        <v>599</v>
      </c>
      <c r="P54" s="14" t="s">
        <v>226</v>
      </c>
      <c r="S54" s="14">
        <v>7</v>
      </c>
      <c r="T54" s="14">
        <v>0</v>
      </c>
      <c r="U54" s="14">
        <v>88</v>
      </c>
      <c r="V54" s="14">
        <v>0</v>
      </c>
      <c r="W54" s="14">
        <v>0</v>
      </c>
      <c r="X54" s="14">
        <v>0</v>
      </c>
      <c r="Y54" s="14">
        <v>0</v>
      </c>
      <c r="Z54" s="14">
        <v>0</v>
      </c>
      <c r="AA54" s="14">
        <v>0</v>
      </c>
      <c r="AB54" s="14">
        <v>0</v>
      </c>
      <c r="AC54" s="14">
        <v>2</v>
      </c>
      <c r="AD54" s="14">
        <v>1</v>
      </c>
      <c r="AE54" s="14">
        <v>0</v>
      </c>
      <c r="AF54" s="14">
        <v>2</v>
      </c>
      <c r="AG54" s="14">
        <v>0</v>
      </c>
      <c r="AH54" s="14">
        <v>2</v>
      </c>
      <c r="AI54" s="14">
        <v>0</v>
      </c>
    </row>
    <row r="55" spans="1:38" s="40" customFormat="1" ht="409" customHeight="1" x14ac:dyDescent="0.2">
      <c r="A55" s="5" t="s">
        <v>918</v>
      </c>
      <c r="B55" s="9" t="s">
        <v>555</v>
      </c>
      <c r="C55" s="5" t="s">
        <v>458</v>
      </c>
      <c r="D55" s="5" t="s">
        <v>458</v>
      </c>
      <c r="E55" s="5" t="s">
        <v>458</v>
      </c>
      <c r="F55" s="5" t="s">
        <v>227</v>
      </c>
      <c r="G55" s="5" t="s">
        <v>228</v>
      </c>
      <c r="H55" s="40" t="s">
        <v>229</v>
      </c>
      <c r="I55" s="40">
        <v>2018</v>
      </c>
      <c r="J55" s="40">
        <v>115</v>
      </c>
      <c r="K55" s="40">
        <v>5</v>
      </c>
      <c r="N55" s="40">
        <v>447</v>
      </c>
      <c r="O55" s="40">
        <v>450</v>
      </c>
      <c r="T55" s="40">
        <v>6</v>
      </c>
      <c r="U55" s="40">
        <v>1</v>
      </c>
      <c r="V55" s="40">
        <v>5</v>
      </c>
      <c r="W55" s="40">
        <v>0</v>
      </c>
      <c r="X55" s="40">
        <v>0</v>
      </c>
      <c r="Y55" s="40">
        <v>0</v>
      </c>
      <c r="Z55" s="40">
        <v>0</v>
      </c>
      <c r="AA55" s="40">
        <v>0</v>
      </c>
      <c r="AB55" s="40">
        <v>0</v>
      </c>
      <c r="AC55" s="40">
        <v>0</v>
      </c>
      <c r="AD55" s="40">
        <v>0</v>
      </c>
      <c r="AE55" s="40">
        <v>0</v>
      </c>
      <c r="AF55" s="40">
        <v>0</v>
      </c>
      <c r="AG55" s="40">
        <v>0</v>
      </c>
      <c r="AH55" s="40">
        <v>2</v>
      </c>
      <c r="AI55" s="40">
        <v>2</v>
      </c>
      <c r="AJ55" s="40">
        <v>2</v>
      </c>
    </row>
    <row r="56" spans="1:38" ht="372" hidden="1" x14ac:dyDescent="0.2">
      <c r="A56" s="2" t="s">
        <v>230</v>
      </c>
      <c r="B56" s="7" t="s">
        <v>556</v>
      </c>
      <c r="C56" s="2" t="s">
        <v>458</v>
      </c>
      <c r="D56" s="2" t="s">
        <v>459</v>
      </c>
      <c r="E56" s="2" t="s">
        <v>458</v>
      </c>
      <c r="F56" s="2" t="s">
        <v>231</v>
      </c>
      <c r="G56" s="2" t="s">
        <v>45</v>
      </c>
      <c r="H56">
        <v>2018</v>
      </c>
      <c r="I56">
        <v>75</v>
      </c>
      <c r="J56">
        <v>4</v>
      </c>
      <c r="M56">
        <v>978</v>
      </c>
      <c r="N56">
        <v>983</v>
      </c>
      <c r="P56" t="s">
        <v>232</v>
      </c>
      <c r="S56">
        <v>6</v>
      </c>
      <c r="T56">
        <v>1</v>
      </c>
      <c r="U56">
        <v>5</v>
      </c>
      <c r="V56">
        <v>0</v>
      </c>
      <c r="W56">
        <v>0</v>
      </c>
      <c r="X56">
        <v>0</v>
      </c>
      <c r="Y56">
        <v>0</v>
      </c>
      <c r="Z56">
        <v>0</v>
      </c>
      <c r="AA56">
        <v>0</v>
      </c>
      <c r="AB56">
        <v>0</v>
      </c>
      <c r="AC56">
        <v>0</v>
      </c>
      <c r="AD56">
        <v>0</v>
      </c>
      <c r="AE56">
        <v>0</v>
      </c>
      <c r="AF56">
        <v>0</v>
      </c>
      <c r="AG56">
        <v>4</v>
      </c>
      <c r="AH56">
        <v>0</v>
      </c>
      <c r="AI56">
        <v>2</v>
      </c>
    </row>
    <row r="57" spans="1:38" s="14" customFormat="1" ht="34" hidden="1" x14ac:dyDescent="0.2">
      <c r="A57" s="6" t="s">
        <v>233</v>
      </c>
      <c r="B57" s="13" t="s">
        <v>557</v>
      </c>
      <c r="C57" s="6"/>
      <c r="D57" s="6"/>
      <c r="E57" s="6"/>
      <c r="F57" s="6" t="s">
        <v>234</v>
      </c>
      <c r="G57" s="6" t="s">
        <v>235</v>
      </c>
      <c r="H57" s="14">
        <v>2017</v>
      </c>
      <c r="I57" s="14">
        <v>22</v>
      </c>
      <c r="O57" s="14">
        <v>1412746</v>
      </c>
      <c r="P57" s="14" t="s">
        <v>236</v>
      </c>
      <c r="S57" s="14">
        <v>6</v>
      </c>
      <c r="T57" s="14">
        <v>1</v>
      </c>
      <c r="U57" s="14">
        <v>2</v>
      </c>
      <c r="V57" s="14">
        <v>0</v>
      </c>
      <c r="W57" s="14">
        <v>0</v>
      </c>
      <c r="X57" s="14">
        <v>0</v>
      </c>
      <c r="Y57" s="14">
        <v>0</v>
      </c>
      <c r="Z57" s="14">
        <v>0</v>
      </c>
      <c r="AA57" s="14">
        <v>0</v>
      </c>
      <c r="AB57" s="14">
        <v>0</v>
      </c>
      <c r="AC57" s="14">
        <v>0</v>
      </c>
      <c r="AD57" s="14">
        <v>0</v>
      </c>
      <c r="AE57" s="14">
        <v>0</v>
      </c>
      <c r="AF57" s="14">
        <v>1</v>
      </c>
      <c r="AG57" s="14">
        <v>1</v>
      </c>
      <c r="AH57" s="14">
        <v>3</v>
      </c>
      <c r="AI57" s="14">
        <v>1</v>
      </c>
    </row>
    <row r="58" spans="1:38" s="14" customFormat="1" ht="51" hidden="1" x14ac:dyDescent="0.2">
      <c r="A58" s="6" t="s">
        <v>237</v>
      </c>
      <c r="B58" s="13" t="s">
        <v>558</v>
      </c>
      <c r="C58" s="6"/>
      <c r="D58" s="6"/>
      <c r="E58" s="6"/>
      <c r="F58" s="6" t="s">
        <v>238</v>
      </c>
      <c r="G58" s="6" t="s">
        <v>81</v>
      </c>
      <c r="H58" s="14">
        <v>2016</v>
      </c>
      <c r="I58" s="14">
        <v>80</v>
      </c>
      <c r="J58" s="14">
        <v>5</v>
      </c>
      <c r="M58" s="14">
        <v>748</v>
      </c>
      <c r="N58" s="14">
        <v>753</v>
      </c>
      <c r="P58" s="14" t="s">
        <v>239</v>
      </c>
      <c r="S58" s="14">
        <v>6</v>
      </c>
      <c r="T58" s="14">
        <v>1</v>
      </c>
      <c r="U58" s="14">
        <v>0</v>
      </c>
      <c r="V58" s="14">
        <v>0</v>
      </c>
      <c r="W58" s="14">
        <v>0</v>
      </c>
      <c r="X58" s="14">
        <v>0</v>
      </c>
      <c r="Y58" s="14">
        <v>0</v>
      </c>
      <c r="Z58" s="14">
        <v>0</v>
      </c>
      <c r="AA58" s="14">
        <v>0</v>
      </c>
      <c r="AB58" s="14">
        <v>0</v>
      </c>
      <c r="AC58" s="14">
        <v>0</v>
      </c>
      <c r="AD58" s="14">
        <v>1</v>
      </c>
      <c r="AE58" s="14">
        <v>1</v>
      </c>
      <c r="AF58" s="14">
        <v>2</v>
      </c>
      <c r="AG58" s="14">
        <v>1</v>
      </c>
      <c r="AH58" s="14">
        <v>1</v>
      </c>
    </row>
    <row r="59" spans="1:38" ht="388" hidden="1" x14ac:dyDescent="0.2">
      <c r="A59" s="2" t="s">
        <v>240</v>
      </c>
      <c r="B59" s="7" t="s">
        <v>559</v>
      </c>
      <c r="F59" s="2" t="s">
        <v>241</v>
      </c>
      <c r="G59" s="2" t="s">
        <v>242</v>
      </c>
      <c r="H59">
        <v>2016</v>
      </c>
      <c r="I59">
        <v>82</v>
      </c>
      <c r="J59">
        <v>3</v>
      </c>
      <c r="M59">
        <v>212</v>
      </c>
      <c r="N59">
        <v>215</v>
      </c>
      <c r="S59">
        <v>6</v>
      </c>
      <c r="T59">
        <v>1</v>
      </c>
      <c r="U59">
        <v>0</v>
      </c>
      <c r="V59">
        <v>0</v>
      </c>
      <c r="W59">
        <v>0</v>
      </c>
      <c r="X59">
        <v>0</v>
      </c>
      <c r="Y59">
        <v>0</v>
      </c>
      <c r="Z59">
        <v>0</v>
      </c>
      <c r="AA59">
        <v>0</v>
      </c>
      <c r="AB59">
        <v>0</v>
      </c>
      <c r="AC59">
        <v>0</v>
      </c>
      <c r="AD59">
        <v>2</v>
      </c>
      <c r="AE59">
        <v>0</v>
      </c>
      <c r="AF59">
        <v>2</v>
      </c>
      <c r="AG59">
        <v>2</v>
      </c>
      <c r="AH59">
        <v>0</v>
      </c>
    </row>
    <row r="60" spans="1:38" s="14" customFormat="1" ht="34" hidden="1" x14ac:dyDescent="0.2">
      <c r="A60" s="6" t="s">
        <v>243</v>
      </c>
      <c r="B60" s="13" t="s">
        <v>560</v>
      </c>
      <c r="C60" s="6"/>
      <c r="D60" s="6"/>
      <c r="E60" s="6"/>
      <c r="F60" s="6" t="s">
        <v>244</v>
      </c>
      <c r="G60" s="6" t="s">
        <v>245</v>
      </c>
      <c r="H60" s="14">
        <v>2014</v>
      </c>
      <c r="I60" s="14">
        <v>6</v>
      </c>
      <c r="J60" s="14">
        <v>3</v>
      </c>
      <c r="M60" s="14">
        <v>489</v>
      </c>
      <c r="N60" s="14">
        <v>94</v>
      </c>
      <c r="P60" s="14" t="s">
        <v>246</v>
      </c>
      <c r="S60" s="14">
        <v>6</v>
      </c>
      <c r="T60" s="14">
        <v>0</v>
      </c>
      <c r="U60" s="14">
        <v>75</v>
      </c>
      <c r="V60" s="14">
        <v>0</v>
      </c>
      <c r="W60" s="14">
        <v>0</v>
      </c>
      <c r="X60" s="14">
        <v>0</v>
      </c>
      <c r="Y60" s="14">
        <v>0</v>
      </c>
      <c r="Z60" s="14">
        <v>0</v>
      </c>
      <c r="AA60" s="14">
        <v>0</v>
      </c>
      <c r="AB60" s="14">
        <v>0</v>
      </c>
      <c r="AC60" s="14">
        <v>1</v>
      </c>
      <c r="AD60" s="14">
        <v>0</v>
      </c>
      <c r="AE60" s="14">
        <v>1</v>
      </c>
      <c r="AF60" s="14">
        <v>1</v>
      </c>
      <c r="AG60" s="14">
        <v>0</v>
      </c>
      <c r="AH60" s="14">
        <v>3</v>
      </c>
      <c r="AI60" s="14">
        <v>0</v>
      </c>
    </row>
    <row r="61" spans="1:38" s="14" customFormat="1" ht="17" hidden="1" x14ac:dyDescent="0.2">
      <c r="A61" s="6" t="s">
        <v>561</v>
      </c>
      <c r="B61" s="13" t="s">
        <v>554</v>
      </c>
      <c r="C61" s="6"/>
      <c r="D61" s="6"/>
      <c r="E61" s="6"/>
      <c r="F61" s="6" t="s">
        <v>247</v>
      </c>
      <c r="G61" s="6" t="s">
        <v>248</v>
      </c>
      <c r="H61" s="14">
        <v>2013</v>
      </c>
      <c r="I61" s="14">
        <v>116</v>
      </c>
      <c r="J61" s="14">
        <v>10</v>
      </c>
      <c r="M61" s="14">
        <v>892</v>
      </c>
      <c r="N61" s="14">
        <v>899</v>
      </c>
      <c r="P61" s="14" t="s">
        <v>249</v>
      </c>
      <c r="S61" s="14">
        <v>6</v>
      </c>
      <c r="T61" s="14">
        <v>0</v>
      </c>
      <c r="U61" s="14">
        <v>67</v>
      </c>
      <c r="V61" s="14">
        <v>0</v>
      </c>
      <c r="W61" s="14">
        <v>0</v>
      </c>
      <c r="X61" s="14">
        <v>0</v>
      </c>
      <c r="Y61" s="14">
        <v>0</v>
      </c>
      <c r="Z61" s="14">
        <v>0</v>
      </c>
      <c r="AA61" s="14">
        <v>0</v>
      </c>
      <c r="AB61" s="14">
        <v>1</v>
      </c>
      <c r="AC61" s="14">
        <v>1</v>
      </c>
      <c r="AD61" s="14">
        <v>1</v>
      </c>
      <c r="AE61" s="14">
        <v>1</v>
      </c>
      <c r="AF61" s="14">
        <v>0</v>
      </c>
      <c r="AG61" s="14">
        <v>1</v>
      </c>
      <c r="AH61" s="14">
        <v>1</v>
      </c>
      <c r="AI61" s="14">
        <v>0</v>
      </c>
    </row>
    <row r="62" spans="1:38" s="14" customFormat="1" ht="17" hidden="1" x14ac:dyDescent="0.2">
      <c r="A62" s="6" t="s">
        <v>250</v>
      </c>
      <c r="B62" s="13" t="s">
        <v>563</v>
      </c>
      <c r="C62" s="6"/>
      <c r="D62" s="6"/>
      <c r="E62" s="6"/>
      <c r="F62" s="6" t="s">
        <v>251</v>
      </c>
      <c r="G62" s="6" t="s">
        <v>73</v>
      </c>
      <c r="H62" s="14" t="s">
        <v>74</v>
      </c>
      <c r="I62" s="14">
        <v>2010</v>
      </c>
      <c r="J62" s="14">
        <v>66</v>
      </c>
      <c r="K62" s="14">
        <v>4</v>
      </c>
      <c r="N62" s="14">
        <v>354</v>
      </c>
      <c r="O62" s="14">
        <v>6</v>
      </c>
      <c r="Q62" s="14" t="s">
        <v>252</v>
      </c>
      <c r="T62" s="14">
        <v>6</v>
      </c>
      <c r="U62" s="14">
        <v>0</v>
      </c>
      <c r="V62" s="14">
        <v>5</v>
      </c>
      <c r="W62" s="14">
        <v>0</v>
      </c>
      <c r="X62" s="14">
        <v>0</v>
      </c>
      <c r="Y62" s="14">
        <v>0</v>
      </c>
      <c r="Z62" s="14">
        <v>0</v>
      </c>
      <c r="AA62" s="14">
        <v>0</v>
      </c>
      <c r="AB62" s="14">
        <v>1</v>
      </c>
      <c r="AC62" s="14">
        <v>0</v>
      </c>
      <c r="AD62" s="14">
        <v>0</v>
      </c>
      <c r="AE62" s="14">
        <v>0</v>
      </c>
      <c r="AF62" s="14">
        <v>2</v>
      </c>
      <c r="AG62" s="14">
        <v>1</v>
      </c>
      <c r="AH62" s="14">
        <v>1</v>
      </c>
      <c r="AI62" s="14">
        <v>1</v>
      </c>
      <c r="AJ62" s="14">
        <v>0</v>
      </c>
    </row>
    <row r="63" spans="1:38" s="14" customFormat="1" ht="34" hidden="1" x14ac:dyDescent="0.2">
      <c r="A63" s="6" t="s">
        <v>253</v>
      </c>
      <c r="B63" s="13" t="s">
        <v>564</v>
      </c>
      <c r="C63" s="6"/>
      <c r="D63" s="6"/>
      <c r="E63" s="6"/>
      <c r="F63" s="6" t="s">
        <v>254</v>
      </c>
      <c r="G63" s="6" t="s">
        <v>255</v>
      </c>
      <c r="H63" s="14">
        <v>2018</v>
      </c>
      <c r="I63" s="14">
        <v>61</v>
      </c>
      <c r="J63" s="14">
        <v>5</v>
      </c>
      <c r="M63" s="14">
        <v>357</v>
      </c>
      <c r="N63" s="14">
        <v>360</v>
      </c>
      <c r="P63" s="14" t="s">
        <v>256</v>
      </c>
      <c r="S63" s="14">
        <v>5</v>
      </c>
      <c r="T63" s="14">
        <v>1</v>
      </c>
      <c r="U63" s="14">
        <v>25</v>
      </c>
      <c r="V63" s="14">
        <v>0</v>
      </c>
      <c r="W63" s="14">
        <v>0</v>
      </c>
      <c r="X63" s="14">
        <v>0</v>
      </c>
      <c r="Y63" s="14">
        <v>0</v>
      </c>
      <c r="Z63" s="14">
        <v>0</v>
      </c>
      <c r="AA63" s="14">
        <v>0</v>
      </c>
      <c r="AB63" s="14">
        <v>0</v>
      </c>
      <c r="AC63" s="14">
        <v>0</v>
      </c>
      <c r="AD63" s="14">
        <v>0</v>
      </c>
      <c r="AE63" s="14">
        <v>0</v>
      </c>
      <c r="AF63" s="14">
        <v>0</v>
      </c>
      <c r="AG63" s="14">
        <v>0</v>
      </c>
      <c r="AH63" s="14">
        <v>4</v>
      </c>
      <c r="AI63" s="14">
        <v>1</v>
      </c>
    </row>
    <row r="64" spans="1:38" s="14" customFormat="1" ht="51" hidden="1" x14ac:dyDescent="0.2">
      <c r="A64" s="6" t="s">
        <v>257</v>
      </c>
      <c r="B64" s="13" t="s">
        <v>565</v>
      </c>
      <c r="C64" s="6"/>
      <c r="D64" s="6"/>
      <c r="E64" s="6"/>
      <c r="F64" s="6" t="s">
        <v>258</v>
      </c>
      <c r="G64" s="6" t="s">
        <v>259</v>
      </c>
      <c r="H64" s="14">
        <v>2017</v>
      </c>
      <c r="I64" s="14">
        <v>48</v>
      </c>
      <c r="J64" s="14">
        <v>5</v>
      </c>
      <c r="M64" s="14">
        <v>657</v>
      </c>
      <c r="N64" s="14">
        <v>669</v>
      </c>
      <c r="P64" s="14" t="s">
        <v>260</v>
      </c>
      <c r="S64" s="14">
        <v>5</v>
      </c>
      <c r="T64" s="14">
        <v>1</v>
      </c>
      <c r="U64" s="14">
        <v>0</v>
      </c>
      <c r="V64" s="14">
        <v>0</v>
      </c>
      <c r="W64" s="14">
        <v>0</v>
      </c>
      <c r="X64" s="14">
        <v>0</v>
      </c>
      <c r="Y64" s="14">
        <v>0</v>
      </c>
      <c r="Z64" s="14">
        <v>0</v>
      </c>
      <c r="AA64" s="14">
        <v>0</v>
      </c>
      <c r="AB64" s="14">
        <v>0</v>
      </c>
      <c r="AC64" s="14">
        <v>0</v>
      </c>
      <c r="AD64" s="14">
        <v>1</v>
      </c>
      <c r="AE64" s="14">
        <v>1</v>
      </c>
      <c r="AF64" s="14">
        <v>1</v>
      </c>
      <c r="AG64" s="14">
        <v>0</v>
      </c>
      <c r="AH64" s="14">
        <v>2</v>
      </c>
    </row>
    <row r="65" spans="1:36" ht="136" hidden="1" x14ac:dyDescent="0.2">
      <c r="A65" s="2" t="s">
        <v>261</v>
      </c>
      <c r="B65" s="7" t="s">
        <v>567</v>
      </c>
      <c r="C65" s="2" t="s">
        <v>566</v>
      </c>
      <c r="D65" s="2" t="s">
        <v>458</v>
      </c>
      <c r="E65" s="2" t="s">
        <v>459</v>
      </c>
      <c r="F65" s="2" t="s">
        <v>262</v>
      </c>
      <c r="G65" s="2" t="s">
        <v>263</v>
      </c>
      <c r="H65">
        <v>2017</v>
      </c>
      <c r="I65">
        <v>8</v>
      </c>
      <c r="M65">
        <v>481</v>
      </c>
      <c r="N65">
        <v>486</v>
      </c>
      <c r="P65" t="s">
        <v>264</v>
      </c>
      <c r="S65">
        <v>5</v>
      </c>
      <c r="T65">
        <v>1</v>
      </c>
      <c r="U65">
        <v>0</v>
      </c>
      <c r="V65">
        <v>0</v>
      </c>
      <c r="W65">
        <v>0</v>
      </c>
      <c r="X65">
        <v>0</v>
      </c>
      <c r="Y65">
        <v>0</v>
      </c>
      <c r="Z65">
        <v>0</v>
      </c>
      <c r="AA65">
        <v>0</v>
      </c>
      <c r="AB65">
        <v>0</v>
      </c>
      <c r="AC65">
        <v>0</v>
      </c>
      <c r="AD65">
        <v>1</v>
      </c>
      <c r="AE65">
        <v>1</v>
      </c>
      <c r="AF65">
        <v>1</v>
      </c>
      <c r="AG65">
        <v>2</v>
      </c>
      <c r="AH65">
        <v>0</v>
      </c>
    </row>
    <row r="66" spans="1:36" ht="409.5" hidden="1" x14ac:dyDescent="0.2">
      <c r="A66" s="2" t="s">
        <v>265</v>
      </c>
      <c r="B66" s="7" t="s">
        <v>568</v>
      </c>
      <c r="C66" s="2" t="s">
        <v>458</v>
      </c>
      <c r="D66" s="2" t="s">
        <v>458</v>
      </c>
      <c r="E66" s="2" t="s">
        <v>459</v>
      </c>
      <c r="F66" s="2" t="s">
        <v>266</v>
      </c>
      <c r="G66" s="2" t="s">
        <v>267</v>
      </c>
      <c r="H66">
        <v>2016</v>
      </c>
      <c r="I66">
        <v>2016</v>
      </c>
      <c r="O66" t="s">
        <v>268</v>
      </c>
      <c r="P66" t="s">
        <v>269</v>
      </c>
      <c r="S66">
        <v>5</v>
      </c>
      <c r="T66">
        <v>0</v>
      </c>
      <c r="U66">
        <v>83</v>
      </c>
      <c r="V66">
        <v>0</v>
      </c>
      <c r="W66">
        <v>0</v>
      </c>
      <c r="X66">
        <v>0</v>
      </c>
      <c r="Y66">
        <v>0</v>
      </c>
      <c r="Z66">
        <v>0</v>
      </c>
      <c r="AA66">
        <v>0</v>
      </c>
      <c r="AB66">
        <v>0</v>
      </c>
      <c r="AC66">
        <v>0</v>
      </c>
      <c r="AD66">
        <v>0</v>
      </c>
      <c r="AE66">
        <v>1</v>
      </c>
      <c r="AF66">
        <v>1</v>
      </c>
      <c r="AG66">
        <v>2</v>
      </c>
      <c r="AH66">
        <v>1</v>
      </c>
      <c r="AI66">
        <v>0</v>
      </c>
    </row>
    <row r="67" spans="1:36" s="14" customFormat="1" ht="272" hidden="1" x14ac:dyDescent="0.2">
      <c r="A67" s="6" t="s">
        <v>270</v>
      </c>
      <c r="B67" s="19" t="s">
        <v>569</v>
      </c>
      <c r="C67" s="6" t="s">
        <v>458</v>
      </c>
      <c r="D67" s="6" t="s">
        <v>458</v>
      </c>
      <c r="E67" s="6" t="s">
        <v>459</v>
      </c>
      <c r="F67" s="6" t="s">
        <v>271</v>
      </c>
      <c r="G67" s="6" t="s">
        <v>176</v>
      </c>
      <c r="H67" s="14">
        <v>2012</v>
      </c>
      <c r="I67" s="14">
        <v>177</v>
      </c>
      <c r="J67" s="14">
        <v>10</v>
      </c>
      <c r="M67" s="14">
        <v>1131</v>
      </c>
      <c r="N67" s="14">
        <v>1135</v>
      </c>
      <c r="P67" s="14" t="s">
        <v>272</v>
      </c>
      <c r="S67" s="14">
        <v>5</v>
      </c>
      <c r="T67" s="14">
        <v>0</v>
      </c>
      <c r="U67" s="14">
        <v>5</v>
      </c>
      <c r="V67" s="14">
        <v>0</v>
      </c>
      <c r="W67" s="14">
        <v>0</v>
      </c>
      <c r="X67" s="14">
        <v>0</v>
      </c>
      <c r="Y67" s="14">
        <v>0</v>
      </c>
      <c r="Z67" s="14">
        <v>0</v>
      </c>
      <c r="AA67" s="14">
        <v>0</v>
      </c>
      <c r="AB67" s="14">
        <v>1</v>
      </c>
      <c r="AC67" s="14">
        <v>0</v>
      </c>
      <c r="AD67" s="14">
        <v>1</v>
      </c>
      <c r="AE67" s="14">
        <v>1</v>
      </c>
      <c r="AF67" s="14">
        <v>0</v>
      </c>
      <c r="AG67" s="14">
        <v>1</v>
      </c>
      <c r="AH67" s="14">
        <v>1</v>
      </c>
      <c r="AI67" s="14">
        <v>0</v>
      </c>
    </row>
    <row r="68" spans="1:36" ht="255" hidden="1" x14ac:dyDescent="0.2">
      <c r="A68" s="2" t="s">
        <v>273</v>
      </c>
      <c r="B68" s="18" t="s">
        <v>591</v>
      </c>
      <c r="F68" s="2" t="s">
        <v>274</v>
      </c>
      <c r="G68" s="2" t="s">
        <v>275</v>
      </c>
      <c r="H68">
        <v>2011</v>
      </c>
      <c r="I68">
        <v>163</v>
      </c>
      <c r="M68">
        <v>650</v>
      </c>
      <c r="N68">
        <v>652</v>
      </c>
      <c r="P68" t="s">
        <v>276</v>
      </c>
      <c r="Q68" t="s">
        <v>277</v>
      </c>
      <c r="R68" t="s">
        <v>278</v>
      </c>
      <c r="S68">
        <v>2011</v>
      </c>
      <c r="T68">
        <v>5</v>
      </c>
      <c r="U68">
        <v>0</v>
      </c>
      <c r="V68">
        <v>45</v>
      </c>
      <c r="W68">
        <v>0</v>
      </c>
      <c r="X68">
        <v>0</v>
      </c>
      <c r="Y68">
        <v>0</v>
      </c>
      <c r="Z68">
        <v>1</v>
      </c>
      <c r="AA68">
        <v>2</v>
      </c>
      <c r="AB68">
        <v>1</v>
      </c>
      <c r="AC68">
        <v>0</v>
      </c>
      <c r="AD68">
        <v>1</v>
      </c>
      <c r="AE68">
        <v>0</v>
      </c>
      <c r="AF68">
        <v>0</v>
      </c>
      <c r="AG68">
        <v>0</v>
      </c>
      <c r="AH68">
        <v>0</v>
      </c>
      <c r="AI68">
        <v>0</v>
      </c>
      <c r="AJ68">
        <v>0</v>
      </c>
    </row>
    <row r="69" spans="1:36" ht="187" x14ac:dyDescent="0.2">
      <c r="A69" s="2" t="s">
        <v>923</v>
      </c>
      <c r="B69" s="7" t="s">
        <v>570</v>
      </c>
      <c r="C69" s="2" t="s">
        <v>571</v>
      </c>
      <c r="D69" s="2" t="s">
        <v>458</v>
      </c>
      <c r="E69" s="2" t="s">
        <v>458</v>
      </c>
      <c r="F69" s="2" t="s">
        <v>279</v>
      </c>
      <c r="G69" s="2" t="s">
        <v>280</v>
      </c>
      <c r="H69">
        <v>2010</v>
      </c>
      <c r="I69">
        <v>41</v>
      </c>
      <c r="J69">
        <v>4</v>
      </c>
      <c r="M69">
        <v>196</v>
      </c>
      <c r="N69">
        <v>200</v>
      </c>
      <c r="P69" t="s">
        <v>281</v>
      </c>
      <c r="S69">
        <v>5</v>
      </c>
      <c r="T69">
        <v>0</v>
      </c>
      <c r="U69">
        <v>42</v>
      </c>
      <c r="V69">
        <v>0</v>
      </c>
      <c r="W69">
        <v>0</v>
      </c>
      <c r="X69">
        <v>0</v>
      </c>
      <c r="Y69">
        <v>0</v>
      </c>
      <c r="Z69">
        <v>0</v>
      </c>
      <c r="AA69">
        <v>0</v>
      </c>
      <c r="AB69">
        <v>0</v>
      </c>
      <c r="AC69">
        <v>1</v>
      </c>
      <c r="AD69">
        <v>0</v>
      </c>
      <c r="AE69">
        <v>0</v>
      </c>
      <c r="AF69">
        <v>1</v>
      </c>
      <c r="AG69">
        <v>2</v>
      </c>
      <c r="AH69">
        <v>0</v>
      </c>
      <c r="AI69">
        <v>1</v>
      </c>
    </row>
    <row r="70" spans="1:36" s="12" customFormat="1" ht="409.5" hidden="1" x14ac:dyDescent="0.2">
      <c r="A70" s="10" t="s">
        <v>282</v>
      </c>
      <c r="B70" s="11" t="s">
        <v>572</v>
      </c>
      <c r="C70" s="10" t="s">
        <v>458</v>
      </c>
      <c r="D70" s="10" t="s">
        <v>458</v>
      </c>
      <c r="E70" s="10" t="s">
        <v>459</v>
      </c>
      <c r="F70" s="10" t="s">
        <v>283</v>
      </c>
      <c r="G70" s="10" t="s">
        <v>573</v>
      </c>
      <c r="H70" s="12">
        <v>2018</v>
      </c>
      <c r="I70" s="12">
        <v>75</v>
      </c>
      <c r="J70" s="12">
        <v>3</v>
      </c>
      <c r="M70" s="12">
        <v>779</v>
      </c>
      <c r="N70" s="12">
        <v>786</v>
      </c>
      <c r="P70" s="12" t="s">
        <v>284</v>
      </c>
      <c r="S70" s="12">
        <v>4</v>
      </c>
      <c r="T70" s="12">
        <v>1</v>
      </c>
      <c r="U70" s="12">
        <v>0</v>
      </c>
      <c r="V70" s="12">
        <v>0</v>
      </c>
      <c r="W70" s="12">
        <v>0</v>
      </c>
      <c r="X70" s="12">
        <v>0</v>
      </c>
      <c r="Y70" s="12">
        <v>0</v>
      </c>
      <c r="Z70" s="12">
        <v>0</v>
      </c>
      <c r="AA70" s="12">
        <v>0</v>
      </c>
      <c r="AB70" s="12">
        <v>0</v>
      </c>
      <c r="AC70" s="12">
        <v>0</v>
      </c>
      <c r="AD70" s="12">
        <v>0</v>
      </c>
      <c r="AE70" s="12">
        <v>0</v>
      </c>
      <c r="AF70" s="12">
        <v>4</v>
      </c>
      <c r="AG70" s="12">
        <v>0</v>
      </c>
      <c r="AH70" s="12">
        <v>0</v>
      </c>
    </row>
    <row r="71" spans="1:36" s="14" customFormat="1" ht="34" hidden="1" x14ac:dyDescent="0.2">
      <c r="A71" s="6" t="s">
        <v>285</v>
      </c>
      <c r="B71" s="13" t="s">
        <v>574</v>
      </c>
      <c r="C71" s="6"/>
      <c r="D71" s="6"/>
      <c r="E71" s="6"/>
      <c r="F71" s="6" t="s">
        <v>286</v>
      </c>
      <c r="G71" s="6" t="s">
        <v>287</v>
      </c>
      <c r="H71" s="14">
        <v>2018</v>
      </c>
      <c r="I71" s="14">
        <v>8</v>
      </c>
      <c r="J71" s="14">
        <v>2</v>
      </c>
      <c r="M71" s="14">
        <v>75</v>
      </c>
      <c r="N71" s="14">
        <v>82</v>
      </c>
      <c r="P71" s="14" t="s">
        <v>288</v>
      </c>
      <c r="S71" s="14">
        <v>4</v>
      </c>
      <c r="T71" s="14">
        <v>1</v>
      </c>
      <c r="U71" s="14">
        <v>0</v>
      </c>
      <c r="V71" s="14">
        <v>0</v>
      </c>
      <c r="W71" s="14">
        <v>0</v>
      </c>
      <c r="X71" s="14">
        <v>0</v>
      </c>
      <c r="Y71" s="14">
        <v>0</v>
      </c>
      <c r="Z71" s="14">
        <v>0</v>
      </c>
      <c r="AA71" s="14">
        <v>0</v>
      </c>
      <c r="AB71" s="14">
        <v>0</v>
      </c>
      <c r="AC71" s="14">
        <v>0</v>
      </c>
      <c r="AD71" s="14">
        <v>0</v>
      </c>
      <c r="AE71" s="14">
        <v>1</v>
      </c>
      <c r="AF71" s="14">
        <v>1</v>
      </c>
      <c r="AG71" s="14">
        <v>2</v>
      </c>
      <c r="AH71" s="14">
        <v>0</v>
      </c>
    </row>
    <row r="72" spans="1:36" ht="221" hidden="1" x14ac:dyDescent="0.2">
      <c r="A72" s="2" t="s">
        <v>289</v>
      </c>
      <c r="B72" s="7" t="s">
        <v>575</v>
      </c>
      <c r="C72" s="2" t="s">
        <v>458</v>
      </c>
      <c r="D72" s="2" t="s">
        <v>458</v>
      </c>
      <c r="E72" s="2" t="s">
        <v>459</v>
      </c>
      <c r="F72" s="2" t="s">
        <v>290</v>
      </c>
      <c r="G72" s="2" t="s">
        <v>291</v>
      </c>
      <c r="H72">
        <v>2013</v>
      </c>
      <c r="I72">
        <v>16</v>
      </c>
      <c r="J72">
        <v>3</v>
      </c>
      <c r="M72">
        <v>145</v>
      </c>
      <c r="N72">
        <v>8</v>
      </c>
      <c r="S72">
        <v>4</v>
      </c>
      <c r="T72">
        <v>0</v>
      </c>
      <c r="U72">
        <v>44</v>
      </c>
      <c r="V72">
        <v>0</v>
      </c>
      <c r="W72">
        <v>0</v>
      </c>
      <c r="X72">
        <v>0</v>
      </c>
      <c r="Y72">
        <v>0</v>
      </c>
      <c r="Z72">
        <v>0</v>
      </c>
      <c r="AA72">
        <v>1</v>
      </c>
      <c r="AB72">
        <v>0</v>
      </c>
      <c r="AC72">
        <v>1</v>
      </c>
      <c r="AD72">
        <v>1</v>
      </c>
      <c r="AE72">
        <v>0</v>
      </c>
      <c r="AF72">
        <v>0</v>
      </c>
      <c r="AG72">
        <v>0</v>
      </c>
      <c r="AH72">
        <v>1</v>
      </c>
      <c r="AI72">
        <v>0</v>
      </c>
    </row>
    <row r="73" spans="1:36" s="14" customFormat="1" ht="85" hidden="1" x14ac:dyDescent="0.2">
      <c r="A73" s="6" t="s">
        <v>292</v>
      </c>
      <c r="B73" s="13" t="s">
        <v>576</v>
      </c>
      <c r="C73" s="6"/>
      <c r="D73" s="6"/>
      <c r="E73" s="6"/>
      <c r="F73" s="6" t="s">
        <v>293</v>
      </c>
      <c r="G73" s="6" t="s">
        <v>294</v>
      </c>
      <c r="H73" s="14">
        <v>2018</v>
      </c>
      <c r="I73" s="14">
        <v>25</v>
      </c>
      <c r="J73" s="14">
        <v>3</v>
      </c>
      <c r="M73" s="14">
        <v>201</v>
      </c>
      <c r="N73" s="14">
        <v>204</v>
      </c>
      <c r="P73" s="14" t="s">
        <v>295</v>
      </c>
      <c r="S73" s="14">
        <v>3</v>
      </c>
      <c r="T73" s="14">
        <v>0</v>
      </c>
      <c r="U73" s="14">
        <v>75</v>
      </c>
      <c r="V73" s="14">
        <v>0</v>
      </c>
      <c r="W73" s="14">
        <v>0</v>
      </c>
      <c r="X73" s="14">
        <v>0</v>
      </c>
      <c r="Y73" s="14">
        <v>0</v>
      </c>
      <c r="Z73" s="14">
        <v>0</v>
      </c>
      <c r="AA73" s="14">
        <v>0</v>
      </c>
      <c r="AB73" s="14">
        <v>0</v>
      </c>
      <c r="AC73" s="14">
        <v>0</v>
      </c>
      <c r="AD73" s="14">
        <v>0</v>
      </c>
      <c r="AE73" s="14">
        <v>0</v>
      </c>
      <c r="AF73" s="14">
        <v>0</v>
      </c>
      <c r="AG73" s="14">
        <v>0</v>
      </c>
      <c r="AH73" s="14">
        <v>3</v>
      </c>
      <c r="AI73" s="14">
        <v>0</v>
      </c>
    </row>
    <row r="74" spans="1:36" s="14" customFormat="1" ht="187" hidden="1" x14ac:dyDescent="0.2">
      <c r="A74" s="6" t="s">
        <v>296</v>
      </c>
      <c r="B74" s="13" t="s">
        <v>577</v>
      </c>
      <c r="C74" s="6"/>
      <c r="D74" s="6"/>
      <c r="E74" s="6"/>
      <c r="F74" s="6" t="s">
        <v>21</v>
      </c>
      <c r="G74" s="6" t="s">
        <v>297</v>
      </c>
      <c r="H74" s="14">
        <v>2018</v>
      </c>
      <c r="I74" s="14">
        <v>17</v>
      </c>
      <c r="M74" s="14">
        <v>1</v>
      </c>
      <c r="N74" s="14">
        <v>6</v>
      </c>
      <c r="P74" s="14" t="s">
        <v>298</v>
      </c>
      <c r="S74" s="14">
        <v>3</v>
      </c>
      <c r="T74" s="14">
        <v>0</v>
      </c>
      <c r="U74" s="14">
        <v>75</v>
      </c>
      <c r="V74" s="14">
        <v>0</v>
      </c>
      <c r="W74" s="14">
        <v>0</v>
      </c>
      <c r="X74" s="14">
        <v>0</v>
      </c>
      <c r="Y74" s="14">
        <v>0</v>
      </c>
      <c r="Z74" s="14">
        <v>0</v>
      </c>
      <c r="AA74" s="14">
        <v>0</v>
      </c>
      <c r="AB74" s="14">
        <v>0</v>
      </c>
      <c r="AC74" s="14">
        <v>0</v>
      </c>
      <c r="AD74" s="14">
        <v>0</v>
      </c>
      <c r="AE74" s="14">
        <v>0</v>
      </c>
      <c r="AF74" s="14">
        <v>0</v>
      </c>
      <c r="AG74" s="14">
        <v>1</v>
      </c>
      <c r="AH74" s="14">
        <v>2</v>
      </c>
      <c r="AI74" s="14">
        <v>0</v>
      </c>
    </row>
    <row r="75" spans="1:36" ht="409.5" hidden="1" x14ac:dyDescent="0.2">
      <c r="A75" s="2" t="s">
        <v>578</v>
      </c>
      <c r="B75" s="7" t="s">
        <v>579</v>
      </c>
      <c r="C75" s="2" t="s">
        <v>458</v>
      </c>
      <c r="D75" s="2" t="s">
        <v>458</v>
      </c>
      <c r="E75" s="2" t="s">
        <v>459</v>
      </c>
      <c r="F75" s="2" t="s">
        <v>299</v>
      </c>
      <c r="G75" s="2" t="s">
        <v>300</v>
      </c>
      <c r="H75" t="s">
        <v>301</v>
      </c>
      <c r="I75">
        <v>2015</v>
      </c>
      <c r="J75">
        <v>34</v>
      </c>
      <c r="K75">
        <v>6</v>
      </c>
      <c r="N75">
        <v>339</v>
      </c>
      <c r="O75">
        <v>344</v>
      </c>
      <c r="Q75" t="s">
        <v>302</v>
      </c>
      <c r="T75">
        <v>3</v>
      </c>
      <c r="U75">
        <v>0</v>
      </c>
      <c r="V75">
        <v>43</v>
      </c>
      <c r="W75">
        <v>0</v>
      </c>
      <c r="X75">
        <v>0</v>
      </c>
      <c r="Y75">
        <v>0</v>
      </c>
      <c r="Z75">
        <v>0</v>
      </c>
      <c r="AA75">
        <v>0</v>
      </c>
      <c r="AB75">
        <v>0</v>
      </c>
      <c r="AC75">
        <v>0</v>
      </c>
      <c r="AD75">
        <v>0</v>
      </c>
      <c r="AE75">
        <v>0</v>
      </c>
      <c r="AF75">
        <v>1</v>
      </c>
      <c r="AG75">
        <v>0</v>
      </c>
      <c r="AH75">
        <v>0</v>
      </c>
      <c r="AI75">
        <v>2</v>
      </c>
      <c r="AJ75">
        <v>0</v>
      </c>
    </row>
    <row r="76" spans="1:36" s="14" customFormat="1" ht="323" hidden="1" x14ac:dyDescent="0.2">
      <c r="A76" s="6" t="s">
        <v>303</v>
      </c>
      <c r="B76" s="13" t="s">
        <v>580</v>
      </c>
      <c r="C76" s="6"/>
      <c r="D76" s="6"/>
      <c r="E76" s="6"/>
      <c r="F76" s="6" t="s">
        <v>304</v>
      </c>
      <c r="G76" s="6" t="s">
        <v>305</v>
      </c>
      <c r="H76" s="14">
        <v>2019</v>
      </c>
      <c r="J76" s="14">
        <v>9</v>
      </c>
      <c r="O76" s="14" t="s">
        <v>306</v>
      </c>
      <c r="P76" s="14" t="s">
        <v>307</v>
      </c>
      <c r="S76" s="14">
        <v>2</v>
      </c>
      <c r="T76" s="14">
        <v>0</v>
      </c>
      <c r="U76" s="14">
        <v>67</v>
      </c>
      <c r="V76" s="14">
        <v>0</v>
      </c>
      <c r="W76" s="14">
        <v>0</v>
      </c>
      <c r="X76" s="14">
        <v>0</v>
      </c>
      <c r="Y76" s="14">
        <v>0</v>
      </c>
      <c r="Z76" s="14">
        <v>0</v>
      </c>
      <c r="AA76" s="14">
        <v>0</v>
      </c>
      <c r="AB76" s="14">
        <v>0</v>
      </c>
      <c r="AC76" s="14">
        <v>0</v>
      </c>
      <c r="AD76" s="14">
        <v>0</v>
      </c>
      <c r="AE76" s="14">
        <v>0</v>
      </c>
      <c r="AF76" s="14">
        <v>0</v>
      </c>
      <c r="AG76" s="14">
        <v>1</v>
      </c>
      <c r="AH76" s="14">
        <v>1</v>
      </c>
      <c r="AI76" s="14">
        <v>0</v>
      </c>
    </row>
    <row r="77" spans="1:36" s="14" customFormat="1" ht="85" hidden="1" x14ac:dyDescent="0.2">
      <c r="A77" s="6" t="s">
        <v>308</v>
      </c>
      <c r="B77" s="13" t="s">
        <v>581</v>
      </c>
      <c r="C77" s="6"/>
      <c r="D77" s="6"/>
      <c r="E77" s="6"/>
      <c r="F77" s="6" t="s">
        <v>309</v>
      </c>
      <c r="G77" s="6" t="s">
        <v>297</v>
      </c>
      <c r="H77" s="14">
        <v>2017</v>
      </c>
      <c r="I77" s="14">
        <v>13</v>
      </c>
      <c r="J77" s="14">
        <v>12</v>
      </c>
      <c r="M77" s="14">
        <v>601</v>
      </c>
      <c r="N77" s="14">
        <v>608</v>
      </c>
      <c r="P77" s="14" t="s">
        <v>310</v>
      </c>
      <c r="S77" s="14">
        <v>2</v>
      </c>
      <c r="T77" s="14">
        <v>0</v>
      </c>
      <c r="U77" s="14">
        <v>4</v>
      </c>
      <c r="V77" s="14">
        <v>0</v>
      </c>
      <c r="W77" s="14">
        <v>0</v>
      </c>
      <c r="X77" s="14">
        <v>0</v>
      </c>
      <c r="Y77" s="14">
        <v>0</v>
      </c>
      <c r="Z77" s="14">
        <v>0</v>
      </c>
      <c r="AA77" s="14">
        <v>0</v>
      </c>
      <c r="AB77" s="14">
        <v>0</v>
      </c>
      <c r="AC77" s="14">
        <v>0</v>
      </c>
      <c r="AD77" s="14">
        <v>0</v>
      </c>
      <c r="AE77" s="14">
        <v>0</v>
      </c>
      <c r="AF77" s="14">
        <v>0</v>
      </c>
      <c r="AG77" s="14">
        <v>0</v>
      </c>
      <c r="AH77" s="14">
        <v>2</v>
      </c>
      <c r="AI77" s="14">
        <v>0</v>
      </c>
    </row>
    <row r="78" spans="1:36" ht="306" hidden="1" x14ac:dyDescent="0.2">
      <c r="A78" s="2" t="s">
        <v>311</v>
      </c>
      <c r="B78" s="7" t="s">
        <v>582</v>
      </c>
      <c r="C78" s="2" t="s">
        <v>458</v>
      </c>
      <c r="D78" s="2" t="s">
        <v>458</v>
      </c>
      <c r="E78" s="2" t="s">
        <v>459</v>
      </c>
      <c r="F78" s="2" t="s">
        <v>312</v>
      </c>
      <c r="G78" s="2" t="s">
        <v>313</v>
      </c>
      <c r="H78">
        <v>2016</v>
      </c>
      <c r="I78">
        <v>54</v>
      </c>
      <c r="J78">
        <v>9</v>
      </c>
      <c r="M78">
        <v>600</v>
      </c>
      <c r="N78">
        <v>604</v>
      </c>
      <c r="S78">
        <v>2</v>
      </c>
      <c r="T78">
        <v>0</v>
      </c>
      <c r="U78">
        <v>33</v>
      </c>
      <c r="V78">
        <v>0</v>
      </c>
      <c r="W78">
        <v>0</v>
      </c>
      <c r="X78">
        <v>0</v>
      </c>
      <c r="Y78">
        <v>0</v>
      </c>
      <c r="Z78">
        <v>0</v>
      </c>
      <c r="AA78">
        <v>0</v>
      </c>
      <c r="AB78">
        <v>0</v>
      </c>
      <c r="AC78">
        <v>0</v>
      </c>
      <c r="AD78">
        <v>0</v>
      </c>
      <c r="AE78">
        <v>0</v>
      </c>
      <c r="AF78">
        <v>0</v>
      </c>
      <c r="AG78">
        <v>2</v>
      </c>
      <c r="AH78">
        <v>0</v>
      </c>
      <c r="AI78">
        <v>0</v>
      </c>
    </row>
    <row r="79" spans="1:36" s="14" customFormat="1" ht="85" hidden="1" x14ac:dyDescent="0.2">
      <c r="A79" s="6" t="s">
        <v>314</v>
      </c>
      <c r="B79" s="13" t="s">
        <v>583</v>
      </c>
      <c r="C79" s="6"/>
      <c r="D79" s="6"/>
      <c r="E79" s="6"/>
      <c r="F79" s="6" t="s">
        <v>315</v>
      </c>
      <c r="G79" s="6" t="s">
        <v>316</v>
      </c>
      <c r="H79" s="14">
        <v>2014</v>
      </c>
      <c r="M79" s="14">
        <v>59</v>
      </c>
      <c r="N79" s="14">
        <v>64</v>
      </c>
      <c r="S79" s="14">
        <v>2</v>
      </c>
      <c r="T79" s="14">
        <v>0</v>
      </c>
      <c r="U79" s="14">
        <v>25</v>
      </c>
      <c r="V79" s="14">
        <v>0</v>
      </c>
      <c r="W79" s="14">
        <v>0</v>
      </c>
      <c r="X79" s="14">
        <v>0</v>
      </c>
      <c r="Y79" s="14">
        <v>0</v>
      </c>
      <c r="Z79" s="14">
        <v>0</v>
      </c>
      <c r="AA79" s="14">
        <v>0</v>
      </c>
      <c r="AB79" s="14">
        <v>0</v>
      </c>
      <c r="AC79" s="14">
        <v>0</v>
      </c>
      <c r="AD79" s="14">
        <v>1</v>
      </c>
      <c r="AE79" s="14">
        <v>0</v>
      </c>
      <c r="AF79" s="14">
        <v>0</v>
      </c>
      <c r="AG79" s="14">
        <v>1</v>
      </c>
      <c r="AH79" s="14">
        <v>0</v>
      </c>
      <c r="AI79" s="14">
        <v>0</v>
      </c>
    </row>
    <row r="80" spans="1:36" s="14" customFormat="1" ht="51" hidden="1" x14ac:dyDescent="0.2">
      <c r="A80" s="6" t="s">
        <v>317</v>
      </c>
      <c r="B80" s="13" t="s">
        <v>554</v>
      </c>
      <c r="C80" s="6"/>
      <c r="D80" s="6"/>
      <c r="E80" s="6"/>
      <c r="F80" s="6" t="s">
        <v>318</v>
      </c>
      <c r="G80" s="6" t="s">
        <v>319</v>
      </c>
      <c r="H80" s="14" t="s">
        <v>213</v>
      </c>
      <c r="I80" s="14">
        <v>2013</v>
      </c>
      <c r="J80" s="14">
        <v>16</v>
      </c>
      <c r="K80" s="14">
        <v>3</v>
      </c>
      <c r="N80" s="14">
        <v>210</v>
      </c>
      <c r="O80" s="14">
        <v>215</v>
      </c>
      <c r="Q80" s="14" t="s">
        <v>320</v>
      </c>
      <c r="T80" s="14">
        <v>2</v>
      </c>
      <c r="U80" s="14">
        <v>0</v>
      </c>
      <c r="V80" s="14">
        <v>22</v>
      </c>
      <c r="W80" s="14">
        <v>0</v>
      </c>
      <c r="X80" s="14">
        <v>0</v>
      </c>
      <c r="Y80" s="14">
        <v>0</v>
      </c>
      <c r="Z80" s="14">
        <v>0</v>
      </c>
      <c r="AA80" s="14">
        <v>0</v>
      </c>
      <c r="AB80" s="14">
        <v>0</v>
      </c>
      <c r="AC80" s="14">
        <v>2</v>
      </c>
      <c r="AD80" s="14">
        <v>0</v>
      </c>
      <c r="AE80" s="14">
        <v>0</v>
      </c>
      <c r="AF80" s="14">
        <v>0</v>
      </c>
      <c r="AG80" s="14">
        <v>0</v>
      </c>
      <c r="AH80" s="14">
        <v>0</v>
      </c>
      <c r="AI80" s="14">
        <v>0</v>
      </c>
      <c r="AJ80" s="14">
        <v>0</v>
      </c>
    </row>
    <row r="81" spans="1:37" ht="409.5" hidden="1" x14ac:dyDescent="0.2">
      <c r="A81" s="2" t="s">
        <v>321</v>
      </c>
      <c r="B81" s="7" t="s">
        <v>584</v>
      </c>
      <c r="C81" s="2" t="s">
        <v>458</v>
      </c>
      <c r="D81" s="2" t="s">
        <v>458</v>
      </c>
      <c r="E81" s="2" t="s">
        <v>459</v>
      </c>
      <c r="F81" s="2" t="s">
        <v>322</v>
      </c>
      <c r="G81" s="2" t="s">
        <v>323</v>
      </c>
      <c r="H81">
        <v>2011</v>
      </c>
      <c r="I81">
        <v>110</v>
      </c>
      <c r="J81">
        <v>5</v>
      </c>
      <c r="M81">
        <v>234</v>
      </c>
      <c r="N81">
        <v>9</v>
      </c>
      <c r="S81">
        <v>2</v>
      </c>
      <c r="T81">
        <v>0</v>
      </c>
      <c r="U81">
        <v>18</v>
      </c>
      <c r="V81">
        <v>0</v>
      </c>
      <c r="W81">
        <v>0</v>
      </c>
      <c r="X81">
        <v>0</v>
      </c>
      <c r="Y81">
        <v>0</v>
      </c>
      <c r="Z81">
        <v>0</v>
      </c>
      <c r="AA81">
        <v>0</v>
      </c>
      <c r="AB81">
        <v>1</v>
      </c>
      <c r="AC81">
        <v>0</v>
      </c>
      <c r="AD81">
        <v>0</v>
      </c>
      <c r="AE81">
        <v>0</v>
      </c>
      <c r="AF81">
        <v>0</v>
      </c>
      <c r="AG81">
        <v>1</v>
      </c>
      <c r="AH81">
        <v>0</v>
      </c>
      <c r="AI81">
        <v>0</v>
      </c>
    </row>
    <row r="82" spans="1:37" s="12" customFormat="1" ht="323" hidden="1" x14ac:dyDescent="0.2">
      <c r="A82" s="10" t="s">
        <v>324</v>
      </c>
      <c r="B82" s="11" t="s">
        <v>585</v>
      </c>
      <c r="C82" s="10" t="s">
        <v>458</v>
      </c>
      <c r="D82" s="10" t="s">
        <v>458</v>
      </c>
      <c r="E82" s="10" t="s">
        <v>459</v>
      </c>
      <c r="F82" s="10" t="s">
        <v>325</v>
      </c>
      <c r="G82" s="10" t="s">
        <v>217</v>
      </c>
      <c r="H82" s="12">
        <v>2020</v>
      </c>
      <c r="I82" s="12">
        <v>12</v>
      </c>
      <c r="J82" s="12">
        <v>5</v>
      </c>
      <c r="O82" s="12" t="s">
        <v>326</v>
      </c>
      <c r="P82" s="12" t="s">
        <v>327</v>
      </c>
      <c r="S82" s="12">
        <v>1</v>
      </c>
      <c r="T82" s="12">
        <v>0</v>
      </c>
      <c r="U82" s="12">
        <v>5</v>
      </c>
      <c r="V82" s="12">
        <v>0</v>
      </c>
      <c r="W82" s="12">
        <v>0</v>
      </c>
      <c r="X82" s="12">
        <v>0</v>
      </c>
      <c r="Y82" s="12">
        <v>0</v>
      </c>
      <c r="Z82" s="12">
        <v>0</v>
      </c>
      <c r="AA82" s="12">
        <v>0</v>
      </c>
      <c r="AB82" s="12">
        <v>0</v>
      </c>
      <c r="AC82" s="12">
        <v>0</v>
      </c>
      <c r="AD82" s="12">
        <v>0</v>
      </c>
      <c r="AE82" s="12">
        <v>0</v>
      </c>
      <c r="AF82" s="12">
        <v>0</v>
      </c>
      <c r="AG82" s="12">
        <v>0</v>
      </c>
      <c r="AH82" s="12">
        <v>0</v>
      </c>
      <c r="AI82" s="12">
        <v>1</v>
      </c>
    </row>
    <row r="83" spans="1:37" s="14" customFormat="1" ht="119" hidden="1" x14ac:dyDescent="0.2">
      <c r="A83" s="6" t="s">
        <v>328</v>
      </c>
      <c r="B83" s="15" t="s">
        <v>586</v>
      </c>
      <c r="C83" s="6"/>
      <c r="D83" s="6"/>
      <c r="E83" s="6"/>
      <c r="F83" s="6" t="s">
        <v>329</v>
      </c>
      <c r="G83" s="6" t="s">
        <v>217</v>
      </c>
      <c r="H83" s="14">
        <v>2020</v>
      </c>
      <c r="I83" s="14">
        <v>12</v>
      </c>
      <c r="J83" s="14">
        <v>2</v>
      </c>
      <c r="O83" s="14" t="s">
        <v>330</v>
      </c>
      <c r="P83" s="14" t="s">
        <v>331</v>
      </c>
      <c r="S83" s="14">
        <v>1</v>
      </c>
      <c r="T83" s="14">
        <v>0</v>
      </c>
      <c r="U83" s="14">
        <v>5</v>
      </c>
      <c r="V83" s="14">
        <v>0</v>
      </c>
      <c r="W83" s="14">
        <v>0</v>
      </c>
      <c r="X83" s="14">
        <v>0</v>
      </c>
      <c r="Y83" s="14">
        <v>0</v>
      </c>
      <c r="Z83" s="14">
        <v>0</v>
      </c>
      <c r="AA83" s="14">
        <v>0</v>
      </c>
      <c r="AB83" s="14">
        <v>0</v>
      </c>
      <c r="AC83" s="14">
        <v>0</v>
      </c>
      <c r="AD83" s="14">
        <v>0</v>
      </c>
      <c r="AE83" s="14">
        <v>0</v>
      </c>
      <c r="AF83" s="14">
        <v>0</v>
      </c>
      <c r="AG83" s="14">
        <v>0</v>
      </c>
      <c r="AH83" s="14">
        <v>1</v>
      </c>
      <c r="AI83" s="14">
        <v>0</v>
      </c>
    </row>
    <row r="84" spans="1:37" s="12" customFormat="1" ht="323" hidden="1" x14ac:dyDescent="0.2">
      <c r="A84" s="10" t="s">
        <v>332</v>
      </c>
      <c r="B84" s="11" t="s">
        <v>587</v>
      </c>
      <c r="C84" s="10" t="s">
        <v>458</v>
      </c>
      <c r="D84" s="10" t="s">
        <v>458</v>
      </c>
      <c r="E84" s="10" t="s">
        <v>459</v>
      </c>
      <c r="F84" s="10" t="s">
        <v>333</v>
      </c>
      <c r="G84" s="10" t="s">
        <v>81</v>
      </c>
      <c r="H84" s="12">
        <v>2020</v>
      </c>
      <c r="I84" s="12">
        <v>88</v>
      </c>
      <c r="J84" s="12">
        <v>2</v>
      </c>
      <c r="M84" s="12">
        <v>242</v>
      </c>
      <c r="N84" s="12">
        <v>246</v>
      </c>
      <c r="P84" s="12" t="s">
        <v>334</v>
      </c>
      <c r="Q84" s="12" t="s">
        <v>335</v>
      </c>
      <c r="R84" s="12" t="s">
        <v>336</v>
      </c>
      <c r="S84" s="12">
        <v>2019</v>
      </c>
      <c r="T84" s="12">
        <v>1</v>
      </c>
      <c r="U84" s="12">
        <v>0</v>
      </c>
      <c r="V84" s="12">
        <v>5</v>
      </c>
      <c r="W84" s="12">
        <v>0</v>
      </c>
      <c r="X84" s="12">
        <v>0</v>
      </c>
      <c r="Y84" s="12">
        <v>0</v>
      </c>
      <c r="Z84" s="12">
        <v>0</v>
      </c>
      <c r="AA84" s="12">
        <v>0</v>
      </c>
      <c r="AB84" s="12">
        <v>0</v>
      </c>
      <c r="AC84" s="12">
        <v>0</v>
      </c>
      <c r="AD84" s="12">
        <v>0</v>
      </c>
      <c r="AE84" s="12">
        <v>0</v>
      </c>
      <c r="AF84" s="12">
        <v>0</v>
      </c>
      <c r="AG84" s="12">
        <v>0</v>
      </c>
      <c r="AH84" s="12">
        <v>0</v>
      </c>
      <c r="AI84" s="12">
        <v>1</v>
      </c>
      <c r="AJ84" s="12">
        <v>0</v>
      </c>
    </row>
    <row r="85" spans="1:37" s="14" customFormat="1" ht="68" hidden="1" x14ac:dyDescent="0.2">
      <c r="A85" s="6" t="s">
        <v>337</v>
      </c>
      <c r="B85" s="13" t="s">
        <v>589</v>
      </c>
      <c r="C85" s="6"/>
      <c r="D85" s="6"/>
      <c r="E85" s="6"/>
      <c r="F85" s="6" t="s">
        <v>338</v>
      </c>
      <c r="G85" s="6" t="s">
        <v>339</v>
      </c>
      <c r="H85" s="14">
        <v>2020</v>
      </c>
      <c r="I85" s="14">
        <v>7</v>
      </c>
      <c r="J85" s="14">
        <v>1</v>
      </c>
      <c r="O85" s="14">
        <v>3</v>
      </c>
      <c r="P85" s="14" t="s">
        <v>340</v>
      </c>
      <c r="S85" s="14">
        <v>1</v>
      </c>
      <c r="T85" s="14">
        <v>0</v>
      </c>
      <c r="U85" s="14">
        <v>5</v>
      </c>
      <c r="V85" s="14">
        <v>0</v>
      </c>
      <c r="W85" s="14">
        <v>0</v>
      </c>
      <c r="X85" s="14">
        <v>0</v>
      </c>
      <c r="Y85" s="14">
        <v>0</v>
      </c>
      <c r="Z85" s="14">
        <v>0</v>
      </c>
      <c r="AA85" s="14">
        <v>0</v>
      </c>
      <c r="AB85" s="14">
        <v>0</v>
      </c>
      <c r="AC85" s="14">
        <v>0</v>
      </c>
      <c r="AD85" s="14">
        <v>0</v>
      </c>
      <c r="AE85" s="14">
        <v>0</v>
      </c>
      <c r="AF85" s="14">
        <v>0</v>
      </c>
      <c r="AG85" s="14">
        <v>0</v>
      </c>
      <c r="AH85" s="14">
        <v>0</v>
      </c>
      <c r="AI85" s="14">
        <v>1</v>
      </c>
    </row>
    <row r="86" spans="1:37" s="14" customFormat="1" ht="34" hidden="1" x14ac:dyDescent="0.2">
      <c r="A86" s="6" t="s">
        <v>341</v>
      </c>
      <c r="B86" s="13" t="s">
        <v>588</v>
      </c>
      <c r="C86" s="6"/>
      <c r="D86" s="6"/>
      <c r="E86" s="6"/>
      <c r="F86" s="6" t="s">
        <v>342</v>
      </c>
      <c r="G86" s="6" t="s">
        <v>343</v>
      </c>
      <c r="H86" s="14" t="s">
        <v>344</v>
      </c>
      <c r="I86" s="14">
        <v>2019</v>
      </c>
      <c r="J86" s="14">
        <v>74</v>
      </c>
      <c r="K86" s="14">
        <v>4</v>
      </c>
      <c r="L86" s="14" t="s">
        <v>177</v>
      </c>
      <c r="N86" s="14" t="s">
        <v>345</v>
      </c>
      <c r="O86" s="14" t="s">
        <v>345</v>
      </c>
      <c r="Q86" s="14" t="s">
        <v>346</v>
      </c>
      <c r="R86" s="14" t="s">
        <v>347</v>
      </c>
      <c r="S86" s="14" t="s">
        <v>348</v>
      </c>
      <c r="T86" s="14">
        <v>2019</v>
      </c>
      <c r="U86" s="14">
        <v>1</v>
      </c>
      <c r="V86" s="14">
        <v>0</v>
      </c>
      <c r="W86" s="14">
        <v>33</v>
      </c>
      <c r="X86" s="14">
        <v>0</v>
      </c>
      <c r="Y86" s="14">
        <v>0</v>
      </c>
      <c r="Z86" s="14">
        <v>0</v>
      </c>
      <c r="AA86" s="14">
        <v>0</v>
      </c>
      <c r="AB86" s="14">
        <v>0</v>
      </c>
      <c r="AC86" s="14">
        <v>0</v>
      </c>
      <c r="AD86" s="14">
        <v>0</v>
      </c>
      <c r="AE86" s="14">
        <v>0</v>
      </c>
      <c r="AF86" s="14">
        <v>0</v>
      </c>
      <c r="AG86" s="14">
        <v>0</v>
      </c>
      <c r="AH86" s="14">
        <v>0</v>
      </c>
      <c r="AI86" s="14">
        <v>0</v>
      </c>
      <c r="AJ86" s="14">
        <v>1</v>
      </c>
      <c r="AK86" s="14">
        <v>0</v>
      </c>
    </row>
    <row r="87" spans="1:37" s="14" customFormat="1" ht="102" hidden="1" x14ac:dyDescent="0.2">
      <c r="A87" s="6" t="s">
        <v>349</v>
      </c>
      <c r="B87" s="13" t="s">
        <v>590</v>
      </c>
      <c r="C87" s="6"/>
      <c r="D87" s="6"/>
      <c r="E87" s="6"/>
      <c r="F87" s="6" t="s">
        <v>350</v>
      </c>
      <c r="G87" s="6" t="s">
        <v>45</v>
      </c>
      <c r="H87" s="14">
        <v>2019</v>
      </c>
      <c r="I87" s="14">
        <v>76</v>
      </c>
      <c r="J87" s="14">
        <v>2</v>
      </c>
      <c r="M87" s="14">
        <v>487</v>
      </c>
      <c r="N87" s="14">
        <v>496</v>
      </c>
      <c r="P87" s="14" t="s">
        <v>351</v>
      </c>
      <c r="S87" s="14">
        <v>1</v>
      </c>
      <c r="T87" s="14">
        <v>0</v>
      </c>
      <c r="U87" s="14">
        <v>33</v>
      </c>
      <c r="V87" s="14">
        <v>0</v>
      </c>
      <c r="W87" s="14">
        <v>0</v>
      </c>
      <c r="X87" s="14">
        <v>0</v>
      </c>
      <c r="Y87" s="14">
        <v>0</v>
      </c>
      <c r="Z87" s="14">
        <v>0</v>
      </c>
      <c r="AA87" s="14">
        <v>0</v>
      </c>
      <c r="AB87" s="14">
        <v>0</v>
      </c>
      <c r="AC87" s="14">
        <v>0</v>
      </c>
      <c r="AD87" s="14">
        <v>0</v>
      </c>
      <c r="AE87" s="14">
        <v>0</v>
      </c>
      <c r="AF87" s="14">
        <v>0</v>
      </c>
      <c r="AG87" s="14">
        <v>1</v>
      </c>
      <c r="AH87" s="14">
        <v>0</v>
      </c>
      <c r="AI87" s="14">
        <v>0</v>
      </c>
    </row>
    <row r="88" spans="1:37" s="14" customFormat="1" ht="289" hidden="1" x14ac:dyDescent="0.2">
      <c r="A88" s="6" t="s">
        <v>352</v>
      </c>
      <c r="B88" s="13" t="s">
        <v>592</v>
      </c>
      <c r="C88" s="6"/>
      <c r="D88" s="6"/>
      <c r="E88" s="6"/>
      <c r="F88" s="6" t="s">
        <v>353</v>
      </c>
      <c r="G88" s="6" t="s">
        <v>354</v>
      </c>
      <c r="H88" s="14">
        <v>2019</v>
      </c>
      <c r="Q88" s="14" t="s">
        <v>355</v>
      </c>
      <c r="R88" s="14" t="s">
        <v>356</v>
      </c>
      <c r="S88" s="14">
        <v>2019</v>
      </c>
      <c r="T88" s="14">
        <v>1</v>
      </c>
      <c r="U88" s="14">
        <v>0</v>
      </c>
      <c r="V88" s="14">
        <v>33</v>
      </c>
      <c r="W88" s="14">
        <v>0</v>
      </c>
      <c r="X88" s="14">
        <v>0</v>
      </c>
      <c r="Y88" s="14">
        <v>0</v>
      </c>
      <c r="Z88" s="14">
        <v>0</v>
      </c>
      <c r="AA88" s="14">
        <v>0</v>
      </c>
      <c r="AB88" s="14">
        <v>0</v>
      </c>
      <c r="AC88" s="14">
        <v>0</v>
      </c>
      <c r="AD88" s="14">
        <v>0</v>
      </c>
      <c r="AE88" s="14">
        <v>0</v>
      </c>
      <c r="AF88" s="14">
        <v>0</v>
      </c>
      <c r="AG88" s="14">
        <v>0</v>
      </c>
      <c r="AH88" s="14">
        <v>0</v>
      </c>
      <c r="AI88" s="14">
        <v>1</v>
      </c>
      <c r="AJ88" s="14">
        <v>0</v>
      </c>
    </row>
    <row r="89" spans="1:37" ht="306" hidden="1" x14ac:dyDescent="0.2">
      <c r="A89" s="2" t="s">
        <v>357</v>
      </c>
      <c r="B89" s="7" t="s">
        <v>593</v>
      </c>
      <c r="C89" s="2" t="s">
        <v>458</v>
      </c>
      <c r="D89" s="2" t="s">
        <v>458</v>
      </c>
      <c r="E89" s="2" t="s">
        <v>458</v>
      </c>
      <c r="F89" s="2" t="s">
        <v>358</v>
      </c>
      <c r="G89" s="2" t="s">
        <v>45</v>
      </c>
      <c r="H89">
        <v>2016</v>
      </c>
      <c r="I89">
        <v>73</v>
      </c>
      <c r="J89">
        <v>4</v>
      </c>
      <c r="M89">
        <v>648</v>
      </c>
      <c r="N89">
        <v>654</v>
      </c>
      <c r="S89">
        <v>1</v>
      </c>
      <c r="T89">
        <v>0</v>
      </c>
      <c r="U89">
        <v>17</v>
      </c>
      <c r="V89">
        <v>0</v>
      </c>
      <c r="W89">
        <v>0</v>
      </c>
      <c r="X89">
        <v>0</v>
      </c>
      <c r="Y89">
        <v>0</v>
      </c>
      <c r="Z89">
        <v>0</v>
      </c>
      <c r="AA89">
        <v>0</v>
      </c>
      <c r="AB89">
        <v>0</v>
      </c>
      <c r="AC89">
        <v>0</v>
      </c>
      <c r="AD89">
        <v>0</v>
      </c>
      <c r="AE89">
        <v>0</v>
      </c>
      <c r="AF89">
        <v>1</v>
      </c>
      <c r="AG89">
        <v>0</v>
      </c>
      <c r="AH89">
        <v>0</v>
      </c>
      <c r="AI89">
        <v>0</v>
      </c>
    </row>
    <row r="90" spans="1:37" s="14" customFormat="1" ht="51" hidden="1" x14ac:dyDescent="0.2">
      <c r="A90" s="6" t="s">
        <v>359</v>
      </c>
      <c r="B90" s="13" t="s">
        <v>574</v>
      </c>
      <c r="C90" s="6"/>
      <c r="D90" s="6"/>
      <c r="E90" s="6"/>
      <c r="F90" s="6" t="s">
        <v>360</v>
      </c>
      <c r="G90" s="6" t="s">
        <v>361</v>
      </c>
      <c r="H90" s="14">
        <v>2012</v>
      </c>
      <c r="I90" s="14">
        <v>31</v>
      </c>
      <c r="J90" s="14">
        <v>11</v>
      </c>
      <c r="M90" s="14">
        <v>857</v>
      </c>
      <c r="N90" s="14">
        <v>862</v>
      </c>
      <c r="P90" s="14" t="s">
        <v>362</v>
      </c>
      <c r="S90" s="14">
        <v>1</v>
      </c>
      <c r="T90" s="14">
        <v>0</v>
      </c>
      <c r="U90" s="14">
        <v>1</v>
      </c>
      <c r="V90" s="14">
        <v>0</v>
      </c>
      <c r="W90" s="14">
        <v>0</v>
      </c>
      <c r="X90" s="14">
        <v>0</v>
      </c>
      <c r="Y90" s="14">
        <v>0</v>
      </c>
      <c r="Z90" s="14">
        <v>0</v>
      </c>
      <c r="AA90" s="14">
        <v>0</v>
      </c>
      <c r="AB90" s="14">
        <v>0</v>
      </c>
      <c r="AC90" s="14">
        <v>1</v>
      </c>
      <c r="AD90" s="14">
        <v>0</v>
      </c>
      <c r="AE90" s="14">
        <v>0</v>
      </c>
      <c r="AF90" s="14">
        <v>0</v>
      </c>
      <c r="AG90" s="14">
        <v>0</v>
      </c>
      <c r="AH90" s="14">
        <v>0</v>
      </c>
      <c r="AI90" s="14">
        <v>0</v>
      </c>
    </row>
    <row r="91" spans="1:37" ht="34" hidden="1" x14ac:dyDescent="0.2">
      <c r="A91" s="2" t="s">
        <v>363</v>
      </c>
      <c r="B91" s="16" t="s">
        <v>594</v>
      </c>
      <c r="F91" s="2" t="s">
        <v>364</v>
      </c>
      <c r="G91" s="2" t="s">
        <v>365</v>
      </c>
      <c r="H91">
        <v>2021</v>
      </c>
      <c r="I91">
        <v>29</v>
      </c>
      <c r="J91">
        <v>6</v>
      </c>
      <c r="M91">
        <v>255</v>
      </c>
      <c r="N91">
        <v>262</v>
      </c>
      <c r="P91" t="s">
        <v>366</v>
      </c>
      <c r="S91">
        <v>0</v>
      </c>
      <c r="T91">
        <v>0</v>
      </c>
      <c r="U91">
        <v>0</v>
      </c>
      <c r="V91">
        <v>0</v>
      </c>
      <c r="W91">
        <v>0</v>
      </c>
      <c r="X91">
        <v>0</v>
      </c>
      <c r="Y91">
        <v>0</v>
      </c>
      <c r="Z91">
        <v>0</v>
      </c>
      <c r="AA91">
        <v>0</v>
      </c>
      <c r="AB91">
        <v>0</v>
      </c>
      <c r="AC91">
        <v>0</v>
      </c>
      <c r="AD91">
        <v>0</v>
      </c>
      <c r="AE91">
        <v>0</v>
      </c>
      <c r="AF91">
        <v>0</v>
      </c>
      <c r="AG91">
        <v>0</v>
      </c>
      <c r="AH91">
        <v>0</v>
      </c>
    </row>
    <row r="92" spans="1:37" ht="170" hidden="1" x14ac:dyDescent="0.2">
      <c r="A92" s="2" t="s">
        <v>367</v>
      </c>
      <c r="B92" s="7" t="s">
        <v>595</v>
      </c>
      <c r="C92" s="2" t="s">
        <v>458</v>
      </c>
      <c r="D92" s="2" t="s">
        <v>458</v>
      </c>
      <c r="E92" s="2" t="s">
        <v>459</v>
      </c>
      <c r="F92" s="2" t="s">
        <v>368</v>
      </c>
      <c r="G92" s="2" t="s">
        <v>109</v>
      </c>
      <c r="H92">
        <v>2020</v>
      </c>
      <c r="I92">
        <v>231</v>
      </c>
      <c r="J92">
        <v>4</v>
      </c>
      <c r="K92">
        <v>1</v>
      </c>
      <c r="M92" t="s">
        <v>369</v>
      </c>
      <c r="N92" t="s">
        <v>369</v>
      </c>
      <c r="Q92" t="s">
        <v>370</v>
      </c>
      <c r="R92" t="s">
        <v>371</v>
      </c>
      <c r="S92">
        <v>2020</v>
      </c>
      <c r="T92">
        <v>0</v>
      </c>
      <c r="U92">
        <v>0</v>
      </c>
      <c r="V92">
        <v>0</v>
      </c>
      <c r="W92">
        <v>0</v>
      </c>
      <c r="X92">
        <v>0</v>
      </c>
      <c r="Y92">
        <v>0</v>
      </c>
      <c r="Z92">
        <v>0</v>
      </c>
      <c r="AA92">
        <v>0</v>
      </c>
      <c r="AB92">
        <v>0</v>
      </c>
      <c r="AC92">
        <v>0</v>
      </c>
      <c r="AD92">
        <v>0</v>
      </c>
      <c r="AE92">
        <v>0</v>
      </c>
      <c r="AF92">
        <v>0</v>
      </c>
      <c r="AG92">
        <v>0</v>
      </c>
      <c r="AH92">
        <v>0</v>
      </c>
      <c r="AI92">
        <v>0</v>
      </c>
    </row>
    <row r="93" spans="1:37" ht="409.5" hidden="1" x14ac:dyDescent="0.2">
      <c r="A93" s="2" t="s">
        <v>596</v>
      </c>
      <c r="B93" s="7" t="s">
        <v>597</v>
      </c>
      <c r="C93" s="2" t="s">
        <v>458</v>
      </c>
      <c r="D93" s="2" t="s">
        <v>458</v>
      </c>
      <c r="E93" s="2" t="s">
        <v>458</v>
      </c>
      <c r="F93" s="2" t="s">
        <v>372</v>
      </c>
      <c r="G93" s="2" t="s">
        <v>373</v>
      </c>
      <c r="H93" t="s">
        <v>374</v>
      </c>
      <c r="I93" t="s">
        <v>375</v>
      </c>
      <c r="J93">
        <v>2020</v>
      </c>
      <c r="K93">
        <v>54</v>
      </c>
      <c r="L93">
        <v>7</v>
      </c>
      <c r="O93">
        <v>652</v>
      </c>
      <c r="P93">
        <v>659</v>
      </c>
      <c r="R93" t="s">
        <v>376</v>
      </c>
      <c r="U93">
        <v>0</v>
      </c>
      <c r="V93">
        <v>0</v>
      </c>
      <c r="W93">
        <v>0</v>
      </c>
      <c r="X93">
        <v>0</v>
      </c>
      <c r="Y93">
        <v>0</v>
      </c>
      <c r="Z93">
        <v>0</v>
      </c>
      <c r="AA93">
        <v>0</v>
      </c>
      <c r="AB93">
        <v>0</v>
      </c>
      <c r="AC93">
        <v>0</v>
      </c>
      <c r="AD93">
        <v>0</v>
      </c>
      <c r="AE93">
        <v>0</v>
      </c>
      <c r="AF93">
        <v>0</v>
      </c>
      <c r="AG93">
        <v>0</v>
      </c>
      <c r="AH93">
        <v>0</v>
      </c>
      <c r="AI93">
        <v>0</v>
      </c>
      <c r="AJ93">
        <v>0</v>
      </c>
    </row>
    <row r="94" spans="1:37" s="14" customFormat="1" ht="51" hidden="1" x14ac:dyDescent="0.2">
      <c r="A94" s="6" t="s">
        <v>598</v>
      </c>
      <c r="B94" s="13" t="s">
        <v>599</v>
      </c>
      <c r="C94" s="6"/>
      <c r="D94" s="6"/>
      <c r="E94" s="6"/>
      <c r="F94" s="6" t="s">
        <v>377</v>
      </c>
      <c r="G94" s="6" t="s">
        <v>378</v>
      </c>
      <c r="H94" s="14" t="s">
        <v>379</v>
      </c>
      <c r="I94" s="14" t="s">
        <v>380</v>
      </c>
      <c r="J94" s="14">
        <v>2020</v>
      </c>
      <c r="K94" s="14">
        <v>2</v>
      </c>
      <c r="L94" s="14">
        <v>1</v>
      </c>
      <c r="O94" s="14">
        <v>24</v>
      </c>
      <c r="P94" s="14">
        <v>28</v>
      </c>
      <c r="R94" s="14" t="s">
        <v>381</v>
      </c>
      <c r="U94" s="14">
        <v>0</v>
      </c>
      <c r="V94" s="14">
        <v>0</v>
      </c>
      <c r="W94" s="14">
        <v>0</v>
      </c>
      <c r="X94" s="14">
        <v>0</v>
      </c>
      <c r="Y94" s="14">
        <v>0</v>
      </c>
      <c r="Z94" s="14">
        <v>0</v>
      </c>
      <c r="AA94" s="14">
        <v>0</v>
      </c>
      <c r="AB94" s="14">
        <v>0</v>
      </c>
      <c r="AC94" s="14">
        <v>0</v>
      </c>
      <c r="AD94" s="14">
        <v>0</v>
      </c>
      <c r="AE94" s="14">
        <v>0</v>
      </c>
      <c r="AF94" s="14">
        <v>0</v>
      </c>
      <c r="AG94" s="14">
        <v>0</v>
      </c>
      <c r="AH94" s="14">
        <v>0</v>
      </c>
      <c r="AI94" s="14">
        <v>0</v>
      </c>
      <c r="AJ94" s="14">
        <v>0</v>
      </c>
    </row>
    <row r="95" spans="1:37" s="14" customFormat="1" ht="51" hidden="1" x14ac:dyDescent="0.2">
      <c r="A95" s="6" t="s">
        <v>382</v>
      </c>
      <c r="B95" s="13" t="s">
        <v>600</v>
      </c>
      <c r="C95" s="6"/>
      <c r="D95" s="6"/>
      <c r="E95" s="6"/>
      <c r="F95" s="6" t="s">
        <v>383</v>
      </c>
      <c r="G95" s="6" t="s">
        <v>81</v>
      </c>
      <c r="H95" s="14">
        <v>2020</v>
      </c>
      <c r="I95" s="14">
        <v>88</v>
      </c>
      <c r="J95" s="14">
        <v>2</v>
      </c>
      <c r="M95" s="14">
        <v>247</v>
      </c>
      <c r="N95" s="14">
        <v>248</v>
      </c>
      <c r="S95" s="14">
        <v>0</v>
      </c>
      <c r="T95" s="14">
        <v>0</v>
      </c>
      <c r="U95" s="14">
        <v>0</v>
      </c>
      <c r="V95" s="14">
        <v>0</v>
      </c>
      <c r="W95" s="14">
        <v>0</v>
      </c>
      <c r="X95" s="14">
        <v>0</v>
      </c>
      <c r="Y95" s="14">
        <v>0</v>
      </c>
      <c r="Z95" s="14">
        <v>0</v>
      </c>
      <c r="AA95" s="14">
        <v>0</v>
      </c>
      <c r="AB95" s="14">
        <v>0</v>
      </c>
      <c r="AC95" s="14">
        <v>0</v>
      </c>
      <c r="AD95" s="14">
        <v>0</v>
      </c>
      <c r="AE95" s="14">
        <v>0</v>
      </c>
      <c r="AF95" s="14">
        <v>0</v>
      </c>
      <c r="AG95" s="14">
        <v>0</v>
      </c>
      <c r="AH95" s="14">
        <v>0</v>
      </c>
    </row>
    <row r="96" spans="1:37" s="14" customFormat="1" ht="272" hidden="1" x14ac:dyDescent="0.2">
      <c r="A96" s="6" t="s">
        <v>384</v>
      </c>
      <c r="B96" s="13" t="s">
        <v>601</v>
      </c>
      <c r="C96" s="6" t="s">
        <v>458</v>
      </c>
      <c r="D96" s="6" t="s">
        <v>458</v>
      </c>
      <c r="E96" s="6" t="s">
        <v>459</v>
      </c>
      <c r="F96" s="6" t="s">
        <v>385</v>
      </c>
      <c r="G96" s="6" t="s">
        <v>386</v>
      </c>
      <c r="H96" s="14">
        <v>2020</v>
      </c>
      <c r="I96" s="14">
        <v>21</v>
      </c>
      <c r="J96" s="14">
        <v>1</v>
      </c>
      <c r="L96" s="14" t="s">
        <v>31</v>
      </c>
      <c r="M96" s="14">
        <v>141</v>
      </c>
      <c r="N96" s="14">
        <v>144</v>
      </c>
      <c r="P96" s="14" t="s">
        <v>387</v>
      </c>
      <c r="S96" s="14">
        <v>0</v>
      </c>
      <c r="T96" s="14">
        <v>0</v>
      </c>
      <c r="U96" s="14">
        <v>0</v>
      </c>
      <c r="V96" s="14">
        <v>0</v>
      </c>
      <c r="W96" s="14">
        <v>0</v>
      </c>
      <c r="X96" s="14">
        <v>0</v>
      </c>
      <c r="Y96" s="14">
        <v>0</v>
      </c>
      <c r="Z96" s="14">
        <v>0</v>
      </c>
      <c r="AA96" s="14">
        <v>0</v>
      </c>
      <c r="AB96" s="14">
        <v>0</v>
      </c>
      <c r="AC96" s="14">
        <v>0</v>
      </c>
      <c r="AD96" s="14">
        <v>0</v>
      </c>
      <c r="AE96" s="14">
        <v>0</v>
      </c>
      <c r="AF96" s="14">
        <v>0</v>
      </c>
      <c r="AG96" s="14">
        <v>0</v>
      </c>
      <c r="AH96" s="14">
        <v>0</v>
      </c>
    </row>
    <row r="97" spans="1:144" s="14" customFormat="1" ht="51" hidden="1" x14ac:dyDescent="0.2">
      <c r="A97" s="6" t="s">
        <v>388</v>
      </c>
      <c r="B97" s="13" t="s">
        <v>602</v>
      </c>
      <c r="C97" s="6"/>
      <c r="D97" s="6"/>
      <c r="E97" s="6"/>
      <c r="F97" s="6" t="s">
        <v>389</v>
      </c>
      <c r="G97" s="6" t="s">
        <v>390</v>
      </c>
      <c r="H97" s="14">
        <v>2020</v>
      </c>
      <c r="I97" s="14">
        <v>16</v>
      </c>
      <c r="M97" s="14">
        <v>11061</v>
      </c>
      <c r="P97" s="14" t="s">
        <v>391</v>
      </c>
      <c r="S97" s="14">
        <v>0</v>
      </c>
      <c r="T97" s="14">
        <v>0</v>
      </c>
      <c r="U97" s="14">
        <v>0</v>
      </c>
      <c r="V97" s="14">
        <v>0</v>
      </c>
      <c r="W97" s="14">
        <v>0</v>
      </c>
      <c r="X97" s="14">
        <v>0</v>
      </c>
      <c r="Y97" s="14">
        <v>0</v>
      </c>
      <c r="Z97" s="14">
        <v>0</v>
      </c>
      <c r="AA97" s="14">
        <v>0</v>
      </c>
      <c r="AB97" s="14">
        <v>0</v>
      </c>
      <c r="AC97" s="14">
        <v>0</v>
      </c>
      <c r="AD97" s="14">
        <v>0</v>
      </c>
      <c r="AE97" s="14">
        <v>0</v>
      </c>
      <c r="AF97" s="14">
        <v>0</v>
      </c>
      <c r="AG97" s="14">
        <v>0</v>
      </c>
      <c r="AH97" s="14">
        <v>0</v>
      </c>
    </row>
    <row r="98" spans="1:144" s="14" customFormat="1" ht="85" hidden="1" x14ac:dyDescent="0.2">
      <c r="A98" s="6" t="s">
        <v>603</v>
      </c>
      <c r="B98" s="13" t="s">
        <v>604</v>
      </c>
      <c r="C98" s="6"/>
      <c r="D98" s="6"/>
      <c r="E98" s="6"/>
      <c r="F98" s="6" t="s">
        <v>392</v>
      </c>
      <c r="G98" s="6" t="s">
        <v>393</v>
      </c>
      <c r="H98" s="14">
        <v>2019</v>
      </c>
      <c r="I98" s="14">
        <v>46</v>
      </c>
      <c r="J98" s="14">
        <v>3</v>
      </c>
      <c r="M98" s="14" t="s">
        <v>394</v>
      </c>
      <c r="P98" s="14" t="s">
        <v>395</v>
      </c>
      <c r="S98" s="14">
        <v>0</v>
      </c>
      <c r="T98" s="14">
        <v>0</v>
      </c>
      <c r="U98" s="14">
        <v>0</v>
      </c>
      <c r="V98" s="14">
        <v>0</v>
      </c>
      <c r="W98" s="14">
        <v>0</v>
      </c>
      <c r="X98" s="14">
        <v>0</v>
      </c>
      <c r="Y98" s="14">
        <v>0</v>
      </c>
      <c r="Z98" s="14">
        <v>0</v>
      </c>
      <c r="AA98" s="14">
        <v>0</v>
      </c>
      <c r="AB98" s="14">
        <v>0</v>
      </c>
      <c r="AC98" s="14">
        <v>0</v>
      </c>
      <c r="AD98" s="14">
        <v>0</v>
      </c>
      <c r="AE98" s="14">
        <v>0</v>
      </c>
      <c r="AF98" s="14">
        <v>0</v>
      </c>
      <c r="AG98" s="14">
        <v>0</v>
      </c>
      <c r="AH98" s="14">
        <v>0</v>
      </c>
    </row>
    <row r="99" spans="1:144" ht="388" hidden="1" x14ac:dyDescent="0.2">
      <c r="A99" s="2" t="s">
        <v>396</v>
      </c>
      <c r="B99" s="7" t="s">
        <v>605</v>
      </c>
      <c r="C99" s="2" t="s">
        <v>606</v>
      </c>
      <c r="D99" s="2" t="s">
        <v>458</v>
      </c>
      <c r="E99" s="2" t="s">
        <v>459</v>
      </c>
      <c r="F99" s="2" t="s">
        <v>397</v>
      </c>
      <c r="G99" s="2" t="s">
        <v>398</v>
      </c>
      <c r="H99">
        <v>2019</v>
      </c>
      <c r="I99">
        <v>5</v>
      </c>
      <c r="J99">
        <v>3</v>
      </c>
      <c r="M99">
        <v>140</v>
      </c>
      <c r="N99">
        <v>143</v>
      </c>
      <c r="P99" t="s">
        <v>399</v>
      </c>
      <c r="S99">
        <v>0</v>
      </c>
      <c r="T99">
        <v>0</v>
      </c>
      <c r="U99">
        <v>0</v>
      </c>
      <c r="V99">
        <v>0</v>
      </c>
      <c r="W99">
        <v>0</v>
      </c>
      <c r="X99">
        <v>0</v>
      </c>
      <c r="Y99">
        <v>0</v>
      </c>
      <c r="Z99">
        <v>0</v>
      </c>
      <c r="AA99">
        <v>0</v>
      </c>
      <c r="AB99">
        <v>0</v>
      </c>
      <c r="AC99">
        <v>0</v>
      </c>
      <c r="AD99">
        <v>0</v>
      </c>
      <c r="AE99">
        <v>0</v>
      </c>
      <c r="AF99">
        <v>0</v>
      </c>
      <c r="AG99">
        <v>0</v>
      </c>
      <c r="AH99">
        <v>0</v>
      </c>
    </row>
    <row r="100" spans="1:144" ht="34" hidden="1" x14ac:dyDescent="0.2">
      <c r="A100" s="2" t="s">
        <v>400</v>
      </c>
      <c r="B100" s="16" t="s">
        <v>607</v>
      </c>
      <c r="F100" s="2" t="s">
        <v>401</v>
      </c>
      <c r="G100" s="2" t="s">
        <v>402</v>
      </c>
      <c r="H100" t="s">
        <v>30</v>
      </c>
      <c r="I100">
        <v>2018</v>
      </c>
      <c r="J100">
        <v>40</v>
      </c>
      <c r="K100">
        <v>5</v>
      </c>
      <c r="M100" t="s">
        <v>31</v>
      </c>
      <c r="N100">
        <v>532</v>
      </c>
      <c r="O100">
        <v>533</v>
      </c>
      <c r="Q100" t="s">
        <v>403</v>
      </c>
      <c r="T100">
        <v>0</v>
      </c>
      <c r="U100">
        <v>0</v>
      </c>
      <c r="V100">
        <v>0</v>
      </c>
      <c r="W100">
        <v>0</v>
      </c>
      <c r="X100">
        <v>0</v>
      </c>
      <c r="Y100">
        <v>0</v>
      </c>
      <c r="Z100">
        <v>0</v>
      </c>
      <c r="AA100">
        <v>0</v>
      </c>
      <c r="AB100">
        <v>0</v>
      </c>
      <c r="AC100">
        <v>0</v>
      </c>
      <c r="AD100">
        <v>0</v>
      </c>
      <c r="AE100">
        <v>0</v>
      </c>
      <c r="AF100">
        <v>0</v>
      </c>
      <c r="AG100">
        <v>0</v>
      </c>
      <c r="AH100">
        <v>0</v>
      </c>
      <c r="AI100">
        <v>0</v>
      </c>
    </row>
    <row r="101" spans="1:144" s="14" customFormat="1" ht="136" hidden="1" x14ac:dyDescent="0.2">
      <c r="A101" s="6" t="s">
        <v>404</v>
      </c>
      <c r="B101" s="13" t="s">
        <v>608</v>
      </c>
      <c r="C101" s="6"/>
      <c r="D101" s="6"/>
      <c r="E101" s="6"/>
      <c r="F101" s="6" t="s">
        <v>405</v>
      </c>
      <c r="G101" s="6" t="s">
        <v>406</v>
      </c>
      <c r="H101" s="14">
        <v>2018</v>
      </c>
      <c r="I101" s="14">
        <v>591</v>
      </c>
      <c r="M101" s="14">
        <v>151</v>
      </c>
      <c r="N101" s="14">
        <v>161</v>
      </c>
      <c r="P101" s="14" t="s">
        <v>407</v>
      </c>
      <c r="Q101" s="14" t="s">
        <v>408</v>
      </c>
      <c r="R101" s="14" t="s">
        <v>409</v>
      </c>
      <c r="S101" s="14">
        <v>2017</v>
      </c>
      <c r="T101" s="14">
        <v>0</v>
      </c>
      <c r="U101" s="14">
        <v>0</v>
      </c>
      <c r="V101" s="14">
        <v>0</v>
      </c>
      <c r="W101" s="14">
        <v>0</v>
      </c>
      <c r="X101" s="14">
        <v>0</v>
      </c>
      <c r="Y101" s="14">
        <v>0</v>
      </c>
      <c r="Z101" s="14">
        <v>0</v>
      </c>
      <c r="AA101" s="14">
        <v>0</v>
      </c>
      <c r="AB101" s="14">
        <v>0</v>
      </c>
      <c r="AC101" s="14">
        <v>0</v>
      </c>
      <c r="AD101" s="14">
        <v>0</v>
      </c>
      <c r="AE101" s="14">
        <v>0</v>
      </c>
      <c r="AF101" s="14">
        <v>0</v>
      </c>
      <c r="AG101" s="14">
        <v>0</v>
      </c>
      <c r="AH101" s="14">
        <v>0</v>
      </c>
      <c r="AI101" s="14">
        <v>0</v>
      </c>
    </row>
    <row r="102" spans="1:144" ht="409.5" hidden="1" x14ac:dyDescent="0.2">
      <c r="A102" s="2" t="s">
        <v>410</v>
      </c>
      <c r="B102" s="7" t="s">
        <v>609</v>
      </c>
      <c r="C102" s="2" t="s">
        <v>458</v>
      </c>
      <c r="D102" s="2" t="s">
        <v>458</v>
      </c>
      <c r="E102" s="2" t="s">
        <v>458</v>
      </c>
      <c r="F102" s="2" t="s">
        <v>411</v>
      </c>
      <c r="G102" s="2" t="s">
        <v>412</v>
      </c>
      <c r="H102">
        <v>2017</v>
      </c>
      <c r="I102">
        <v>23</v>
      </c>
      <c r="J102">
        <v>6</v>
      </c>
      <c r="M102">
        <v>1381</v>
      </c>
      <c r="N102">
        <v>1386</v>
      </c>
      <c r="P102" t="s">
        <v>413</v>
      </c>
      <c r="S102">
        <v>0</v>
      </c>
      <c r="T102">
        <v>0</v>
      </c>
      <c r="U102">
        <v>0</v>
      </c>
      <c r="V102">
        <v>0</v>
      </c>
      <c r="W102">
        <v>0</v>
      </c>
      <c r="X102">
        <v>0</v>
      </c>
      <c r="Y102">
        <v>0</v>
      </c>
      <c r="Z102">
        <v>0</v>
      </c>
      <c r="AA102">
        <v>0</v>
      </c>
      <c r="AB102">
        <v>0</v>
      </c>
      <c r="AC102">
        <v>0</v>
      </c>
      <c r="AD102">
        <v>0</v>
      </c>
      <c r="AE102">
        <v>0</v>
      </c>
      <c r="AF102">
        <v>0</v>
      </c>
      <c r="AG102">
        <v>0</v>
      </c>
      <c r="AH102">
        <v>0</v>
      </c>
    </row>
    <row r="103" spans="1:144" s="14" customFormat="1" ht="34" hidden="1" x14ac:dyDescent="0.2">
      <c r="A103" s="6" t="s">
        <v>414</v>
      </c>
      <c r="B103" s="13" t="s">
        <v>610</v>
      </c>
      <c r="C103" s="6"/>
      <c r="D103" s="6"/>
      <c r="E103" s="6"/>
      <c r="F103" s="6" t="s">
        <v>415</v>
      </c>
      <c r="G103" s="6" t="s">
        <v>416</v>
      </c>
      <c r="H103" s="14" t="s">
        <v>417</v>
      </c>
      <c r="I103" s="14" t="s">
        <v>418</v>
      </c>
      <c r="J103" s="14">
        <v>2016</v>
      </c>
      <c r="K103" s="14">
        <v>17</v>
      </c>
      <c r="L103" s="14">
        <v>4</v>
      </c>
      <c r="O103" s="14">
        <v>710</v>
      </c>
      <c r="P103" s="14">
        <v>717</v>
      </c>
      <c r="R103" s="14" t="s">
        <v>419</v>
      </c>
      <c r="U103" s="14">
        <v>0</v>
      </c>
      <c r="V103" s="14">
        <v>0</v>
      </c>
      <c r="W103" s="14">
        <v>0</v>
      </c>
      <c r="X103" s="14">
        <v>0</v>
      </c>
      <c r="Y103" s="14">
        <v>0</v>
      </c>
      <c r="Z103" s="14">
        <v>0</v>
      </c>
      <c r="AA103" s="14">
        <v>0</v>
      </c>
      <c r="AB103" s="14">
        <v>0</v>
      </c>
      <c r="AC103" s="14">
        <v>0</v>
      </c>
      <c r="AD103" s="14">
        <v>0</v>
      </c>
      <c r="AE103" s="14">
        <v>0</v>
      </c>
      <c r="AF103" s="14">
        <v>0</v>
      </c>
      <c r="AG103" s="14">
        <v>0</v>
      </c>
      <c r="AH103" s="14">
        <v>0</v>
      </c>
      <c r="AI103" s="14">
        <v>0</v>
      </c>
      <c r="AJ103" s="14">
        <v>0</v>
      </c>
    </row>
    <row r="104" spans="1:144" s="14" customFormat="1" ht="153" hidden="1" x14ac:dyDescent="0.2">
      <c r="A104" s="6" t="s">
        <v>420</v>
      </c>
      <c r="B104" s="13" t="s">
        <v>611</v>
      </c>
      <c r="C104" s="6"/>
      <c r="D104" s="6"/>
      <c r="E104" s="6"/>
      <c r="F104" s="6" t="s">
        <v>421</v>
      </c>
      <c r="G104" s="6" t="s">
        <v>375</v>
      </c>
      <c r="H104" s="14">
        <v>2015</v>
      </c>
      <c r="I104" s="14">
        <v>49</v>
      </c>
      <c r="J104" s="14">
        <v>11</v>
      </c>
      <c r="M104" s="14">
        <v>1165</v>
      </c>
      <c r="N104" s="14">
        <v>1166</v>
      </c>
      <c r="P104" s="14" t="s">
        <v>422</v>
      </c>
      <c r="S104" s="14">
        <v>0</v>
      </c>
      <c r="T104" s="14">
        <v>0</v>
      </c>
      <c r="U104" s="14">
        <v>0</v>
      </c>
      <c r="V104" s="14">
        <v>0</v>
      </c>
      <c r="W104" s="14">
        <v>0</v>
      </c>
      <c r="X104" s="14">
        <v>0</v>
      </c>
      <c r="Y104" s="14">
        <v>0</v>
      </c>
      <c r="Z104" s="14">
        <v>0</v>
      </c>
      <c r="AA104" s="14">
        <v>0</v>
      </c>
      <c r="AB104" s="14">
        <v>0</v>
      </c>
      <c r="AC104" s="14">
        <v>0</v>
      </c>
      <c r="AD104" s="14">
        <v>0</v>
      </c>
      <c r="AE104" s="14">
        <v>0</v>
      </c>
      <c r="AF104" s="14">
        <v>0</v>
      </c>
      <c r="AG104" s="14">
        <v>0</v>
      </c>
      <c r="AH104" s="14">
        <v>0</v>
      </c>
    </row>
    <row r="105" spans="1:144" s="14" customFormat="1" ht="17" hidden="1" x14ac:dyDescent="0.2">
      <c r="A105" s="6" t="s">
        <v>423</v>
      </c>
      <c r="B105" s="13" t="s">
        <v>612</v>
      </c>
      <c r="C105" s="6"/>
      <c r="D105" s="6"/>
      <c r="E105" s="6"/>
      <c r="F105" s="6" t="s">
        <v>424</v>
      </c>
      <c r="G105" s="6" t="s">
        <v>38</v>
      </c>
      <c r="H105" s="14">
        <v>2014</v>
      </c>
      <c r="I105" s="14">
        <v>22</v>
      </c>
      <c r="J105" s="14">
        <v>4</v>
      </c>
      <c r="M105" s="14">
        <v>271</v>
      </c>
      <c r="N105" s="14">
        <v>271</v>
      </c>
      <c r="S105" s="14">
        <v>0</v>
      </c>
      <c r="T105" s="14">
        <v>0</v>
      </c>
      <c r="U105" s="14">
        <v>0</v>
      </c>
      <c r="V105" s="14">
        <v>0</v>
      </c>
      <c r="W105" s="14">
        <v>0</v>
      </c>
      <c r="X105" s="14">
        <v>0</v>
      </c>
      <c r="Y105" s="14">
        <v>0</v>
      </c>
      <c r="Z105" s="14">
        <v>0</v>
      </c>
      <c r="AA105" s="14">
        <v>0</v>
      </c>
      <c r="AB105" s="14">
        <v>0</v>
      </c>
      <c r="AC105" s="14">
        <v>0</v>
      </c>
      <c r="AD105" s="14">
        <v>0</v>
      </c>
      <c r="AE105" s="14">
        <v>0</v>
      </c>
      <c r="AF105" s="14">
        <v>0</v>
      </c>
      <c r="AG105" s="14">
        <v>0</v>
      </c>
      <c r="AH105" s="14">
        <v>0</v>
      </c>
    </row>
    <row r="106" spans="1:144" s="14" customFormat="1" ht="17" hidden="1" x14ac:dyDescent="0.2">
      <c r="A106" s="6" t="s">
        <v>425</v>
      </c>
      <c r="B106" s="13" t="s">
        <v>612</v>
      </c>
      <c r="C106" s="6"/>
      <c r="D106" s="6"/>
      <c r="E106" s="6"/>
      <c r="F106" s="6" t="s">
        <v>426</v>
      </c>
      <c r="G106" s="6" t="s">
        <v>427</v>
      </c>
      <c r="H106" s="14">
        <v>2013</v>
      </c>
      <c r="I106" s="14">
        <v>100</v>
      </c>
      <c r="K106" s="14">
        <v>7</v>
      </c>
      <c r="M106" s="14">
        <v>218</v>
      </c>
      <c r="N106" s="14">
        <v>218</v>
      </c>
      <c r="Q106" s="14" t="s">
        <v>428</v>
      </c>
      <c r="R106" s="14" t="s">
        <v>429</v>
      </c>
      <c r="S106" s="14">
        <v>2013</v>
      </c>
      <c r="T106" s="14">
        <v>0</v>
      </c>
      <c r="U106" s="14">
        <v>0</v>
      </c>
      <c r="V106" s="14">
        <v>0</v>
      </c>
      <c r="W106" s="14">
        <v>0</v>
      </c>
      <c r="X106" s="14">
        <v>0</v>
      </c>
      <c r="Y106" s="14">
        <v>0</v>
      </c>
      <c r="Z106" s="14">
        <v>0</v>
      </c>
      <c r="AA106" s="14">
        <v>0</v>
      </c>
      <c r="AB106" s="14">
        <v>0</v>
      </c>
      <c r="AC106" s="14">
        <v>0</v>
      </c>
      <c r="AD106" s="14">
        <v>0</v>
      </c>
      <c r="AE106" s="14">
        <v>0</v>
      </c>
      <c r="AF106" s="14">
        <v>0</v>
      </c>
      <c r="AG106" s="14">
        <v>0</v>
      </c>
      <c r="AH106" s="14">
        <v>0</v>
      </c>
      <c r="AI106" s="14">
        <v>0</v>
      </c>
    </row>
    <row r="107" spans="1:144" s="14" customFormat="1" ht="34" hidden="1" x14ac:dyDescent="0.2">
      <c r="A107" s="6" t="s">
        <v>430</v>
      </c>
      <c r="B107" s="13" t="s">
        <v>612</v>
      </c>
      <c r="C107" s="6"/>
      <c r="D107" s="6"/>
      <c r="E107" s="6"/>
      <c r="F107" s="6" t="s">
        <v>431</v>
      </c>
      <c r="G107" s="6" t="s">
        <v>432</v>
      </c>
      <c r="H107" s="14">
        <v>2013</v>
      </c>
      <c r="I107" s="14">
        <v>27</v>
      </c>
      <c r="K107" s="14">
        <v>1</v>
      </c>
      <c r="M107" s="14">
        <v>162</v>
      </c>
      <c r="N107" s="14">
        <v>162</v>
      </c>
      <c r="S107" s="14">
        <v>0</v>
      </c>
      <c r="T107" s="14">
        <v>0</v>
      </c>
      <c r="U107" s="14">
        <v>0</v>
      </c>
      <c r="V107" s="14">
        <v>0</v>
      </c>
      <c r="W107" s="14">
        <v>0</v>
      </c>
      <c r="X107" s="14">
        <v>0</v>
      </c>
      <c r="Y107" s="14">
        <v>0</v>
      </c>
      <c r="Z107" s="14">
        <v>0</v>
      </c>
      <c r="AA107" s="14">
        <v>0</v>
      </c>
      <c r="AB107" s="14">
        <v>0</v>
      </c>
      <c r="AC107" s="14">
        <v>0</v>
      </c>
      <c r="AD107" s="14">
        <v>0</v>
      </c>
      <c r="AE107" s="14">
        <v>0</v>
      </c>
      <c r="AF107" s="14">
        <v>0</v>
      </c>
      <c r="AG107" s="14">
        <v>0</v>
      </c>
      <c r="AH107" s="14">
        <v>0</v>
      </c>
    </row>
    <row r="108" spans="1:144" s="14" customFormat="1" ht="34" hidden="1" x14ac:dyDescent="0.2">
      <c r="A108" s="6" t="s">
        <v>433</v>
      </c>
      <c r="B108" s="13" t="s">
        <v>610</v>
      </c>
      <c r="C108" s="6"/>
      <c r="D108" s="6"/>
      <c r="E108" s="6"/>
      <c r="F108" s="6" t="s">
        <v>434</v>
      </c>
      <c r="G108" s="6" t="s">
        <v>435</v>
      </c>
      <c r="H108" s="14" t="s">
        <v>436</v>
      </c>
      <c r="I108" s="14">
        <v>2011</v>
      </c>
      <c r="J108" s="14">
        <v>22</v>
      </c>
      <c r="K108" s="14">
        <v>6</v>
      </c>
      <c r="N108" s="14">
        <v>643</v>
      </c>
      <c r="O108" s="14">
        <v>649</v>
      </c>
      <c r="T108" s="14">
        <v>0</v>
      </c>
      <c r="U108" s="14">
        <v>0</v>
      </c>
      <c r="V108" s="14">
        <v>0</v>
      </c>
      <c r="W108" s="14">
        <v>0</v>
      </c>
      <c r="X108" s="14">
        <v>0</v>
      </c>
      <c r="Y108" s="14">
        <v>0</v>
      </c>
      <c r="Z108" s="14">
        <v>0</v>
      </c>
      <c r="AA108" s="14">
        <v>0</v>
      </c>
      <c r="AB108" s="14">
        <v>0</v>
      </c>
      <c r="AC108" s="14">
        <v>0</v>
      </c>
      <c r="AD108" s="14">
        <v>0</v>
      </c>
      <c r="AE108" s="14">
        <v>0</v>
      </c>
      <c r="AF108" s="14">
        <v>0</v>
      </c>
      <c r="AG108" s="14">
        <v>0</v>
      </c>
      <c r="AH108" s="14">
        <v>0</v>
      </c>
      <c r="AI108" s="14">
        <v>0</v>
      </c>
    </row>
    <row r="109" spans="1:144" s="14" customFormat="1" ht="68" hidden="1" x14ac:dyDescent="0.2">
      <c r="A109" s="6" t="s">
        <v>437</v>
      </c>
      <c r="B109" s="13" t="s">
        <v>610</v>
      </c>
      <c r="C109" s="6"/>
      <c r="D109" s="6"/>
      <c r="E109" s="6"/>
      <c r="F109" s="6" t="s">
        <v>438</v>
      </c>
      <c r="G109" s="6" t="s">
        <v>439</v>
      </c>
      <c r="H109" s="14">
        <v>2011</v>
      </c>
      <c r="I109" s="14">
        <v>15</v>
      </c>
      <c r="J109" s="14">
        <v>2</v>
      </c>
      <c r="M109" s="14">
        <v>43</v>
      </c>
      <c r="N109" s="14">
        <v>54</v>
      </c>
      <c r="S109" s="14">
        <v>0</v>
      </c>
      <c r="T109" s="14">
        <v>0</v>
      </c>
      <c r="U109" s="14">
        <v>0</v>
      </c>
      <c r="V109" s="14">
        <v>0</v>
      </c>
      <c r="W109" s="14">
        <v>0</v>
      </c>
      <c r="X109" s="14">
        <v>0</v>
      </c>
      <c r="Y109" s="14">
        <v>0</v>
      </c>
      <c r="Z109" s="14">
        <v>0</v>
      </c>
      <c r="AA109" s="14">
        <v>0</v>
      </c>
      <c r="AB109" s="14">
        <v>0</v>
      </c>
      <c r="AC109" s="14">
        <v>0</v>
      </c>
      <c r="AD109" s="14">
        <v>0</v>
      </c>
      <c r="AE109" s="14">
        <v>0</v>
      </c>
      <c r="AF109" s="14">
        <v>0</v>
      </c>
      <c r="AG109" s="14">
        <v>0</v>
      </c>
      <c r="AH109" s="14">
        <v>0</v>
      </c>
    </row>
    <row r="110" spans="1:144" ht="34" hidden="1" x14ac:dyDescent="0.2">
      <c r="A110" s="2" t="s">
        <v>618</v>
      </c>
      <c r="F110" t="s">
        <v>619</v>
      </c>
      <c r="G110" t="s">
        <v>621</v>
      </c>
      <c r="H110" t="s">
        <v>622</v>
      </c>
      <c r="I110">
        <v>1994</v>
      </c>
      <c r="J110">
        <v>9</v>
      </c>
      <c r="K110">
        <v>3</v>
      </c>
      <c r="L110" t="s">
        <v>620</v>
      </c>
      <c r="M110" t="s">
        <v>620</v>
      </c>
      <c r="N110" t="s">
        <v>620</v>
      </c>
      <c r="O110">
        <v>165</v>
      </c>
      <c r="P110" t="s">
        <v>623</v>
      </c>
      <c r="Q110" t="s">
        <v>620</v>
      </c>
      <c r="R110" t="s">
        <v>620</v>
      </c>
      <c r="S110" t="s">
        <v>620</v>
      </c>
      <c r="T110" t="s">
        <v>620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row>
    <row r="111" spans="1:144" s="14" customFormat="1" ht="34" hidden="1" x14ac:dyDescent="0.2">
      <c r="A111" s="6" t="s">
        <v>624</v>
      </c>
      <c r="B111" s="14" t="s">
        <v>682</v>
      </c>
      <c r="F111" s="14" t="s">
        <v>625</v>
      </c>
      <c r="G111" s="14" t="s">
        <v>344</v>
      </c>
      <c r="H111" s="14" t="s">
        <v>626</v>
      </c>
      <c r="I111" s="14">
        <v>1991</v>
      </c>
      <c r="J111" s="14">
        <v>20</v>
      </c>
      <c r="K111" s="14">
        <v>12</v>
      </c>
      <c r="L111" s="14" t="s">
        <v>620</v>
      </c>
      <c r="M111" s="14" t="s">
        <v>620</v>
      </c>
      <c r="N111" s="14" t="s">
        <v>620</v>
      </c>
      <c r="O111" s="14">
        <v>1314</v>
      </c>
      <c r="P111" s="14">
        <v>1318</v>
      </c>
      <c r="Q111" s="14" t="s">
        <v>620</v>
      </c>
      <c r="R111" s="14" t="s">
        <v>627</v>
      </c>
      <c r="S111" s="14" t="s">
        <v>620</v>
      </c>
      <c r="T111" s="14" t="s">
        <v>620</v>
      </c>
      <c r="U111" s="14">
        <v>51</v>
      </c>
      <c r="V111" s="14">
        <v>1.65</v>
      </c>
      <c r="W111" s="14">
        <v>0</v>
      </c>
      <c r="X111" s="14">
        <v>0</v>
      </c>
      <c r="Y111" s="14">
        <v>0</v>
      </c>
      <c r="Z111" s="14">
        <v>0</v>
      </c>
      <c r="AA111" s="14">
        <v>0</v>
      </c>
      <c r="AB111" s="14">
        <v>0</v>
      </c>
      <c r="AC111" s="14">
        <v>0</v>
      </c>
      <c r="AD111" s="14">
        <v>0</v>
      </c>
      <c r="AE111" s="14">
        <v>0</v>
      </c>
      <c r="AF111" s="14">
        <v>0</v>
      </c>
      <c r="AG111" s="14">
        <v>0</v>
      </c>
      <c r="AH111" s="14">
        <v>0</v>
      </c>
      <c r="AI111" s="14">
        <v>0</v>
      </c>
      <c r="AJ111" s="14">
        <v>0</v>
      </c>
      <c r="AK111" s="14">
        <v>0</v>
      </c>
      <c r="AL111" s="14">
        <v>0</v>
      </c>
      <c r="AM111" s="14">
        <v>0</v>
      </c>
      <c r="AN111" s="14">
        <v>0</v>
      </c>
      <c r="AO111" s="14">
        <v>0</v>
      </c>
      <c r="AP111" s="14">
        <v>0</v>
      </c>
      <c r="AQ111" s="14">
        <v>0</v>
      </c>
      <c r="AR111" s="14">
        <v>0</v>
      </c>
      <c r="AS111" s="14">
        <v>0</v>
      </c>
      <c r="AT111" s="14">
        <v>0</v>
      </c>
      <c r="AU111" s="14">
        <v>0</v>
      </c>
      <c r="AV111" s="14">
        <v>0</v>
      </c>
      <c r="AW111" s="14">
        <v>0</v>
      </c>
      <c r="AX111" s="14">
        <v>0</v>
      </c>
      <c r="AY111" s="14">
        <v>0</v>
      </c>
      <c r="AZ111" s="14">
        <v>0</v>
      </c>
      <c r="BA111" s="14">
        <v>0</v>
      </c>
      <c r="BB111" s="14">
        <v>0</v>
      </c>
      <c r="BC111" s="14">
        <v>0</v>
      </c>
      <c r="BD111" s="14">
        <v>0</v>
      </c>
      <c r="BE111" s="14">
        <v>0</v>
      </c>
      <c r="BF111" s="14">
        <v>0</v>
      </c>
      <c r="BG111" s="14">
        <v>0</v>
      </c>
      <c r="BH111" s="14">
        <v>0</v>
      </c>
      <c r="BI111" s="14">
        <v>0</v>
      </c>
      <c r="BJ111" s="14">
        <v>0</v>
      </c>
      <c r="BK111" s="14">
        <v>0</v>
      </c>
      <c r="BL111" s="14">
        <v>0</v>
      </c>
      <c r="BM111" s="14">
        <v>0</v>
      </c>
      <c r="BN111" s="14">
        <v>0</v>
      </c>
      <c r="BO111" s="14">
        <v>0</v>
      </c>
      <c r="BP111" s="14">
        <v>0</v>
      </c>
      <c r="BQ111" s="14">
        <v>0</v>
      </c>
      <c r="BR111" s="14">
        <v>0</v>
      </c>
      <c r="BS111" s="14">
        <v>0</v>
      </c>
      <c r="BT111" s="14">
        <v>0</v>
      </c>
      <c r="BU111" s="14">
        <v>0</v>
      </c>
      <c r="BV111" s="14">
        <v>0</v>
      </c>
      <c r="BW111" s="14">
        <v>0</v>
      </c>
      <c r="BX111" s="14">
        <v>0</v>
      </c>
      <c r="BY111" s="14">
        <v>0</v>
      </c>
      <c r="BZ111" s="14">
        <v>0</v>
      </c>
      <c r="CA111" s="14">
        <v>0</v>
      </c>
      <c r="CB111" s="14">
        <v>0</v>
      </c>
      <c r="CC111" s="14">
        <v>0</v>
      </c>
      <c r="CD111" s="14">
        <v>0</v>
      </c>
      <c r="CE111" s="14">
        <v>0</v>
      </c>
      <c r="CF111" s="14">
        <v>0</v>
      </c>
      <c r="CG111" s="14">
        <v>0</v>
      </c>
      <c r="CH111" s="14">
        <v>0</v>
      </c>
      <c r="CI111" s="14">
        <v>0</v>
      </c>
      <c r="CJ111" s="14">
        <v>0</v>
      </c>
      <c r="CK111" s="14">
        <v>0</v>
      </c>
      <c r="CL111" s="14">
        <v>0</v>
      </c>
      <c r="CM111" s="14">
        <v>0</v>
      </c>
      <c r="CN111" s="14">
        <v>0</v>
      </c>
      <c r="CO111" s="14">
        <v>0</v>
      </c>
      <c r="CP111" s="14">
        <v>0</v>
      </c>
      <c r="CQ111" s="14">
        <v>0</v>
      </c>
      <c r="CR111" s="14">
        <v>0</v>
      </c>
      <c r="CS111" s="14">
        <v>0</v>
      </c>
      <c r="CT111" s="14">
        <v>0</v>
      </c>
      <c r="CU111" s="14">
        <v>0</v>
      </c>
      <c r="CV111" s="14">
        <v>0</v>
      </c>
      <c r="CW111" s="14">
        <v>0</v>
      </c>
      <c r="CX111" s="14">
        <v>0</v>
      </c>
      <c r="CY111" s="14">
        <v>0</v>
      </c>
      <c r="CZ111" s="14">
        <v>0</v>
      </c>
      <c r="DA111" s="14">
        <v>0</v>
      </c>
      <c r="DB111" s="14">
        <v>0</v>
      </c>
      <c r="DC111" s="14">
        <v>0</v>
      </c>
      <c r="DD111" s="14">
        <v>0</v>
      </c>
      <c r="DE111" s="14">
        <v>0</v>
      </c>
      <c r="DF111" s="14">
        <v>0</v>
      </c>
      <c r="DG111" s="14">
        <v>0</v>
      </c>
      <c r="DH111" s="14">
        <v>0</v>
      </c>
      <c r="DI111" s="14">
        <v>0</v>
      </c>
      <c r="DJ111" s="14">
        <v>0</v>
      </c>
      <c r="DK111" s="14">
        <v>0</v>
      </c>
      <c r="DL111" s="14">
        <v>0</v>
      </c>
      <c r="DM111" s="14">
        <v>4</v>
      </c>
      <c r="DN111" s="14">
        <v>0</v>
      </c>
      <c r="DO111" s="14">
        <v>5</v>
      </c>
      <c r="DP111" s="14">
        <v>1</v>
      </c>
      <c r="DQ111" s="14">
        <v>5</v>
      </c>
      <c r="DR111" s="14">
        <v>3</v>
      </c>
      <c r="DS111" s="14">
        <v>4</v>
      </c>
      <c r="DT111" s="14">
        <v>3</v>
      </c>
      <c r="DU111" s="14">
        <v>2</v>
      </c>
      <c r="DV111" s="14">
        <v>1</v>
      </c>
      <c r="DW111" s="14">
        <v>3</v>
      </c>
      <c r="DX111" s="14">
        <v>2</v>
      </c>
      <c r="DY111" s="14">
        <v>3</v>
      </c>
      <c r="DZ111" s="14">
        <v>1</v>
      </c>
      <c r="EA111" s="14">
        <v>1</v>
      </c>
      <c r="EB111" s="14">
        <v>1</v>
      </c>
      <c r="EC111" s="14">
        <v>1</v>
      </c>
      <c r="ED111" s="14">
        <v>0</v>
      </c>
      <c r="EE111" s="14">
        <v>0</v>
      </c>
      <c r="EF111" s="14">
        <v>4</v>
      </c>
      <c r="EG111" s="14">
        <v>1</v>
      </c>
      <c r="EH111" s="14">
        <v>1</v>
      </c>
      <c r="EI111" s="14">
        <v>3</v>
      </c>
      <c r="EJ111" s="14">
        <v>0</v>
      </c>
      <c r="EK111" s="14">
        <v>0</v>
      </c>
      <c r="EL111" s="14">
        <v>1</v>
      </c>
      <c r="EM111" s="14">
        <v>1</v>
      </c>
      <c r="EN111" s="14">
        <v>0</v>
      </c>
    </row>
    <row r="112" spans="1:144" s="14" customFormat="1" ht="34" hidden="1" x14ac:dyDescent="0.2">
      <c r="A112" s="6" t="s">
        <v>628</v>
      </c>
      <c r="B112" s="14" t="s">
        <v>682</v>
      </c>
      <c r="C112" s="6"/>
      <c r="D112" s="6"/>
      <c r="E112" s="6"/>
      <c r="F112" s="14" t="s">
        <v>629</v>
      </c>
      <c r="G112" s="14" t="s">
        <v>70</v>
      </c>
      <c r="H112" s="14" t="s">
        <v>630</v>
      </c>
      <c r="I112" s="14">
        <v>2012</v>
      </c>
      <c r="J112" s="14">
        <v>29</v>
      </c>
      <c r="K112" s="14">
        <v>4</v>
      </c>
      <c r="L112" s="14" t="s">
        <v>620</v>
      </c>
      <c r="M112" s="14" t="s">
        <v>620</v>
      </c>
      <c r="N112" s="14" t="s">
        <v>620</v>
      </c>
      <c r="O112" s="14">
        <v>322</v>
      </c>
      <c r="P112" s="14">
        <v>326</v>
      </c>
      <c r="Q112" s="14" t="s">
        <v>620</v>
      </c>
      <c r="R112" s="14" t="s">
        <v>631</v>
      </c>
      <c r="S112" s="14" t="s">
        <v>620</v>
      </c>
      <c r="T112" s="14" t="s">
        <v>620</v>
      </c>
      <c r="U112" s="14">
        <v>21</v>
      </c>
      <c r="V112" s="14">
        <v>2.1</v>
      </c>
      <c r="W112" s="14">
        <v>0</v>
      </c>
      <c r="X112" s="14">
        <v>0</v>
      </c>
      <c r="Y112" s="14">
        <v>0</v>
      </c>
      <c r="Z112" s="14">
        <v>0</v>
      </c>
      <c r="AA112" s="14">
        <v>0</v>
      </c>
      <c r="AB112" s="14">
        <v>0</v>
      </c>
      <c r="AC112" s="14">
        <v>0</v>
      </c>
      <c r="AD112" s="14">
        <v>0</v>
      </c>
      <c r="AE112" s="14">
        <v>0</v>
      </c>
      <c r="AF112" s="14">
        <v>0</v>
      </c>
      <c r="AG112" s="14">
        <v>0</v>
      </c>
      <c r="AH112" s="14">
        <v>0</v>
      </c>
      <c r="AI112" s="14">
        <v>0</v>
      </c>
      <c r="AJ112" s="14">
        <v>0</v>
      </c>
      <c r="AK112" s="14">
        <v>0</v>
      </c>
      <c r="AL112" s="14">
        <v>0</v>
      </c>
      <c r="AM112" s="14">
        <v>0</v>
      </c>
      <c r="AN112" s="14">
        <v>0</v>
      </c>
      <c r="AO112" s="14">
        <v>0</v>
      </c>
      <c r="AP112" s="14">
        <v>0</v>
      </c>
      <c r="AQ112" s="14">
        <v>0</v>
      </c>
      <c r="AR112" s="14">
        <v>0</v>
      </c>
      <c r="AS112" s="14">
        <v>0</v>
      </c>
      <c r="AT112" s="14">
        <v>0</v>
      </c>
      <c r="AU112" s="14">
        <v>0</v>
      </c>
      <c r="AV112" s="14">
        <v>0</v>
      </c>
      <c r="AW112" s="14">
        <v>0</v>
      </c>
      <c r="AX112" s="14">
        <v>0</v>
      </c>
      <c r="AY112" s="14">
        <v>0</v>
      </c>
      <c r="AZ112" s="14">
        <v>0</v>
      </c>
      <c r="BA112" s="14">
        <v>0</v>
      </c>
      <c r="BB112" s="14">
        <v>0</v>
      </c>
      <c r="BC112" s="14">
        <v>0</v>
      </c>
      <c r="BD112" s="14">
        <v>0</v>
      </c>
      <c r="BE112" s="14">
        <v>0</v>
      </c>
      <c r="BF112" s="14">
        <v>0</v>
      </c>
      <c r="BG112" s="14">
        <v>0</v>
      </c>
      <c r="BH112" s="14">
        <v>0</v>
      </c>
      <c r="BI112" s="14">
        <v>0</v>
      </c>
      <c r="BJ112" s="14">
        <v>0</v>
      </c>
      <c r="BK112" s="14">
        <v>0</v>
      </c>
      <c r="BL112" s="14">
        <v>0</v>
      </c>
      <c r="BM112" s="14">
        <v>0</v>
      </c>
      <c r="BN112" s="14">
        <v>0</v>
      </c>
      <c r="BO112" s="14">
        <v>0</v>
      </c>
      <c r="BP112" s="14">
        <v>0</v>
      </c>
      <c r="BQ112" s="14">
        <v>0</v>
      </c>
      <c r="BR112" s="14">
        <v>0</v>
      </c>
      <c r="BS112" s="14">
        <v>0</v>
      </c>
      <c r="BT112" s="14">
        <v>0</v>
      </c>
      <c r="BU112" s="14">
        <v>0</v>
      </c>
      <c r="BV112" s="14">
        <v>0</v>
      </c>
      <c r="BW112" s="14">
        <v>0</v>
      </c>
      <c r="BX112" s="14">
        <v>0</v>
      </c>
      <c r="BY112" s="14">
        <v>0</v>
      </c>
      <c r="BZ112" s="14">
        <v>0</v>
      </c>
      <c r="CA112" s="14">
        <v>0</v>
      </c>
      <c r="CB112" s="14">
        <v>0</v>
      </c>
      <c r="CC112" s="14">
        <v>0</v>
      </c>
      <c r="CD112" s="14">
        <v>0</v>
      </c>
      <c r="CE112" s="14">
        <v>0</v>
      </c>
      <c r="CF112" s="14">
        <v>0</v>
      </c>
      <c r="CG112" s="14">
        <v>0</v>
      </c>
      <c r="CH112" s="14">
        <v>0</v>
      </c>
      <c r="CI112" s="14">
        <v>0</v>
      </c>
      <c r="CJ112" s="14">
        <v>0</v>
      </c>
      <c r="CK112" s="14">
        <v>0</v>
      </c>
      <c r="CL112" s="14">
        <v>0</v>
      </c>
      <c r="CM112" s="14">
        <v>0</v>
      </c>
      <c r="CN112" s="14">
        <v>0</v>
      </c>
      <c r="CO112" s="14">
        <v>0</v>
      </c>
      <c r="CP112" s="14">
        <v>0</v>
      </c>
      <c r="CQ112" s="14">
        <v>0</v>
      </c>
      <c r="CR112" s="14">
        <v>0</v>
      </c>
      <c r="CS112" s="14">
        <v>0</v>
      </c>
      <c r="CT112" s="14">
        <v>0</v>
      </c>
      <c r="CU112" s="14">
        <v>0</v>
      </c>
      <c r="CV112" s="14">
        <v>0</v>
      </c>
      <c r="CW112" s="14">
        <v>0</v>
      </c>
      <c r="CX112" s="14">
        <v>0</v>
      </c>
      <c r="CY112" s="14">
        <v>0</v>
      </c>
      <c r="CZ112" s="14">
        <v>0</v>
      </c>
      <c r="DA112" s="14">
        <v>0</v>
      </c>
      <c r="DB112" s="14">
        <v>0</v>
      </c>
      <c r="DC112" s="14">
        <v>0</v>
      </c>
      <c r="DD112" s="14">
        <v>0</v>
      </c>
      <c r="DE112" s="14">
        <v>0</v>
      </c>
      <c r="DF112" s="14">
        <v>0</v>
      </c>
      <c r="DG112" s="14">
        <v>0</v>
      </c>
      <c r="DH112" s="14">
        <v>0</v>
      </c>
      <c r="DI112" s="14">
        <v>0</v>
      </c>
      <c r="DJ112" s="14">
        <v>0</v>
      </c>
      <c r="DK112" s="14">
        <v>0</v>
      </c>
      <c r="DL112" s="14">
        <v>0</v>
      </c>
      <c r="DM112" s="14">
        <v>0</v>
      </c>
      <c r="DN112" s="14">
        <v>0</v>
      </c>
      <c r="DO112" s="14">
        <v>0</v>
      </c>
      <c r="DP112" s="14">
        <v>0</v>
      </c>
      <c r="DQ112" s="14">
        <v>0</v>
      </c>
      <c r="DR112" s="14">
        <v>0</v>
      </c>
      <c r="DS112" s="14">
        <v>0</v>
      </c>
      <c r="DT112" s="14">
        <v>0</v>
      </c>
      <c r="DU112" s="14">
        <v>0</v>
      </c>
      <c r="DV112" s="14">
        <v>0</v>
      </c>
      <c r="DW112" s="14">
        <v>0</v>
      </c>
      <c r="DX112" s="14">
        <v>0</v>
      </c>
      <c r="DY112" s="14">
        <v>0</v>
      </c>
      <c r="DZ112" s="14">
        <v>0</v>
      </c>
      <c r="EA112" s="14">
        <v>0</v>
      </c>
      <c r="EB112" s="14">
        <v>0</v>
      </c>
      <c r="EC112" s="14">
        <v>0</v>
      </c>
      <c r="ED112" s="14">
        <v>0</v>
      </c>
      <c r="EE112" s="14">
        <v>0</v>
      </c>
      <c r="EF112" s="14">
        <v>2</v>
      </c>
      <c r="EG112" s="14">
        <v>3</v>
      </c>
      <c r="EH112" s="14">
        <v>4</v>
      </c>
      <c r="EI112" s="14">
        <v>2</v>
      </c>
      <c r="EJ112" s="14">
        <v>3</v>
      </c>
      <c r="EK112" s="14">
        <v>2</v>
      </c>
      <c r="EL112" s="14">
        <v>2</v>
      </c>
      <c r="EM112" s="14">
        <v>2</v>
      </c>
      <c r="EN112" s="14">
        <v>1</v>
      </c>
    </row>
    <row r="113" spans="1:144" s="14" customFormat="1" ht="34" hidden="1" x14ac:dyDescent="0.2">
      <c r="A113" s="6" t="s">
        <v>632</v>
      </c>
      <c r="B113" s="14" t="s">
        <v>682</v>
      </c>
      <c r="C113" s="6"/>
      <c r="D113" s="6"/>
      <c r="E113" s="6"/>
      <c r="F113" s="14" t="s">
        <v>633</v>
      </c>
      <c r="G113" s="14" t="s">
        <v>70</v>
      </c>
      <c r="H113" s="14" t="s">
        <v>634</v>
      </c>
      <c r="I113" s="14">
        <v>2013</v>
      </c>
      <c r="J113" s="14">
        <v>30</v>
      </c>
      <c r="K113" s="14">
        <v>12</v>
      </c>
      <c r="L113" s="14" t="s">
        <v>620</v>
      </c>
      <c r="M113" s="14" t="s">
        <v>620</v>
      </c>
      <c r="N113" s="14" t="s">
        <v>620</v>
      </c>
      <c r="O113" s="14">
        <v>1012</v>
      </c>
      <c r="P113" s="14">
        <v>1016</v>
      </c>
      <c r="Q113" s="14" t="s">
        <v>620</v>
      </c>
      <c r="R113" s="14" t="s">
        <v>635</v>
      </c>
      <c r="S113" s="14" t="s">
        <v>620</v>
      </c>
      <c r="T113" s="14" t="s">
        <v>620</v>
      </c>
      <c r="U113" s="14">
        <v>18</v>
      </c>
      <c r="V113" s="14">
        <v>2</v>
      </c>
      <c r="W113" s="14">
        <v>0</v>
      </c>
      <c r="X113" s="14">
        <v>0</v>
      </c>
      <c r="Y113" s="14">
        <v>0</v>
      </c>
      <c r="Z113" s="14">
        <v>0</v>
      </c>
      <c r="AA113" s="14">
        <v>0</v>
      </c>
      <c r="AB113" s="14">
        <v>0</v>
      </c>
      <c r="AC113" s="14">
        <v>0</v>
      </c>
      <c r="AD113" s="14">
        <v>0</v>
      </c>
      <c r="AE113" s="14">
        <v>0</v>
      </c>
      <c r="AF113" s="14">
        <v>0</v>
      </c>
      <c r="AG113" s="14">
        <v>0</v>
      </c>
      <c r="AH113" s="14">
        <v>0</v>
      </c>
      <c r="AI113" s="14">
        <v>0</v>
      </c>
      <c r="AJ113" s="14">
        <v>0</v>
      </c>
      <c r="AK113" s="14">
        <v>0</v>
      </c>
      <c r="AL113" s="14">
        <v>0</v>
      </c>
      <c r="AM113" s="14">
        <v>0</v>
      </c>
      <c r="AN113" s="14">
        <v>0</v>
      </c>
      <c r="AO113" s="14">
        <v>0</v>
      </c>
      <c r="AP113" s="14">
        <v>0</v>
      </c>
      <c r="AQ113" s="14">
        <v>0</v>
      </c>
      <c r="AR113" s="14">
        <v>0</v>
      </c>
      <c r="AS113" s="14">
        <v>0</v>
      </c>
      <c r="AT113" s="14">
        <v>0</v>
      </c>
      <c r="AU113" s="14">
        <v>0</v>
      </c>
      <c r="AV113" s="14">
        <v>0</v>
      </c>
      <c r="AW113" s="14">
        <v>0</v>
      </c>
      <c r="AX113" s="14">
        <v>0</v>
      </c>
      <c r="AY113" s="14">
        <v>0</v>
      </c>
      <c r="AZ113" s="14">
        <v>0</v>
      </c>
      <c r="BA113" s="14">
        <v>0</v>
      </c>
      <c r="BB113" s="14">
        <v>0</v>
      </c>
      <c r="BC113" s="14">
        <v>0</v>
      </c>
      <c r="BD113" s="14">
        <v>0</v>
      </c>
      <c r="BE113" s="14">
        <v>0</v>
      </c>
      <c r="BF113" s="14">
        <v>0</v>
      </c>
      <c r="BG113" s="14">
        <v>0</v>
      </c>
      <c r="BH113" s="14">
        <v>0</v>
      </c>
      <c r="BI113" s="14">
        <v>0</v>
      </c>
      <c r="BJ113" s="14">
        <v>0</v>
      </c>
      <c r="BK113" s="14">
        <v>0</v>
      </c>
      <c r="BL113" s="14">
        <v>0</v>
      </c>
      <c r="BM113" s="14">
        <v>0</v>
      </c>
      <c r="BN113" s="14">
        <v>0</v>
      </c>
      <c r="BO113" s="14">
        <v>0</v>
      </c>
      <c r="BP113" s="14">
        <v>0</v>
      </c>
      <c r="BQ113" s="14">
        <v>0</v>
      </c>
      <c r="BR113" s="14">
        <v>0</v>
      </c>
      <c r="BS113" s="14">
        <v>0</v>
      </c>
      <c r="BT113" s="14">
        <v>0</v>
      </c>
      <c r="BU113" s="14">
        <v>0</v>
      </c>
      <c r="BV113" s="14">
        <v>0</v>
      </c>
      <c r="BW113" s="14">
        <v>0</v>
      </c>
      <c r="BX113" s="14">
        <v>0</v>
      </c>
      <c r="BY113" s="14">
        <v>0</v>
      </c>
      <c r="BZ113" s="14">
        <v>0</v>
      </c>
      <c r="CA113" s="14">
        <v>0</v>
      </c>
      <c r="CB113" s="14">
        <v>0</v>
      </c>
      <c r="CC113" s="14">
        <v>0</v>
      </c>
      <c r="CD113" s="14">
        <v>0</v>
      </c>
      <c r="CE113" s="14">
        <v>0</v>
      </c>
      <c r="CF113" s="14">
        <v>0</v>
      </c>
      <c r="CG113" s="14">
        <v>0</v>
      </c>
      <c r="CH113" s="14">
        <v>0</v>
      </c>
      <c r="CI113" s="14">
        <v>0</v>
      </c>
      <c r="CJ113" s="14">
        <v>0</v>
      </c>
      <c r="CK113" s="14">
        <v>0</v>
      </c>
      <c r="CL113" s="14">
        <v>0</v>
      </c>
      <c r="CM113" s="14">
        <v>0</v>
      </c>
      <c r="CN113" s="14">
        <v>0</v>
      </c>
      <c r="CO113" s="14">
        <v>0</v>
      </c>
      <c r="CP113" s="14">
        <v>0</v>
      </c>
      <c r="CQ113" s="14">
        <v>0</v>
      </c>
      <c r="CR113" s="14">
        <v>0</v>
      </c>
      <c r="CS113" s="14">
        <v>0</v>
      </c>
      <c r="CT113" s="14">
        <v>0</v>
      </c>
      <c r="CU113" s="14">
        <v>0</v>
      </c>
      <c r="CV113" s="14">
        <v>0</v>
      </c>
      <c r="CW113" s="14">
        <v>0</v>
      </c>
      <c r="CX113" s="14">
        <v>0</v>
      </c>
      <c r="CY113" s="14">
        <v>0</v>
      </c>
      <c r="CZ113" s="14">
        <v>0</v>
      </c>
      <c r="DA113" s="14">
        <v>0</v>
      </c>
      <c r="DB113" s="14">
        <v>0</v>
      </c>
      <c r="DC113" s="14">
        <v>0</v>
      </c>
      <c r="DD113" s="14">
        <v>0</v>
      </c>
      <c r="DE113" s="14">
        <v>0</v>
      </c>
      <c r="DF113" s="14">
        <v>0</v>
      </c>
      <c r="DG113" s="14">
        <v>0</v>
      </c>
      <c r="DH113" s="14">
        <v>0</v>
      </c>
      <c r="DI113" s="14">
        <v>0</v>
      </c>
      <c r="DJ113" s="14">
        <v>0</v>
      </c>
      <c r="DK113" s="14">
        <v>0</v>
      </c>
      <c r="DL113" s="14">
        <v>0</v>
      </c>
      <c r="DM113" s="14">
        <v>0</v>
      </c>
      <c r="DN113" s="14">
        <v>0</v>
      </c>
      <c r="DO113" s="14">
        <v>0</v>
      </c>
      <c r="DP113" s="14">
        <v>0</v>
      </c>
      <c r="DQ113" s="14">
        <v>0</v>
      </c>
      <c r="DR113" s="14">
        <v>0</v>
      </c>
      <c r="DS113" s="14">
        <v>0</v>
      </c>
      <c r="DT113" s="14">
        <v>0</v>
      </c>
      <c r="DU113" s="14">
        <v>0</v>
      </c>
      <c r="DV113" s="14">
        <v>0</v>
      </c>
      <c r="DW113" s="14">
        <v>0</v>
      </c>
      <c r="DX113" s="14">
        <v>0</v>
      </c>
      <c r="DY113" s="14">
        <v>0</v>
      </c>
      <c r="DZ113" s="14">
        <v>0</v>
      </c>
      <c r="EA113" s="14">
        <v>0</v>
      </c>
      <c r="EB113" s="14">
        <v>0</v>
      </c>
      <c r="EC113" s="14">
        <v>0</v>
      </c>
      <c r="ED113" s="14">
        <v>0</v>
      </c>
      <c r="EE113" s="14">
        <v>0</v>
      </c>
      <c r="EF113" s="14">
        <v>0</v>
      </c>
      <c r="EG113" s="14">
        <v>3</v>
      </c>
      <c r="EH113" s="14">
        <v>5</v>
      </c>
      <c r="EI113" s="14">
        <v>4</v>
      </c>
      <c r="EJ113" s="14">
        <v>2</v>
      </c>
      <c r="EK113" s="14">
        <v>1</v>
      </c>
      <c r="EL113" s="14">
        <v>2</v>
      </c>
      <c r="EM113" s="14">
        <v>1</v>
      </c>
      <c r="EN113" s="14">
        <v>0</v>
      </c>
    </row>
    <row r="114" spans="1:144" s="14" customFormat="1" ht="17" hidden="1" x14ac:dyDescent="0.2">
      <c r="A114" s="6" t="s">
        <v>636</v>
      </c>
      <c r="B114" s="14" t="s">
        <v>682</v>
      </c>
      <c r="C114" s="6"/>
      <c r="D114" s="6"/>
      <c r="E114" s="6"/>
      <c r="F114" s="14" t="s">
        <v>637</v>
      </c>
      <c r="G114" s="14" t="s">
        <v>621</v>
      </c>
      <c r="H114" s="14" t="s">
        <v>638</v>
      </c>
      <c r="I114" s="14">
        <v>2006</v>
      </c>
      <c r="J114" s="14">
        <v>21</v>
      </c>
      <c r="K114" s="14">
        <v>5</v>
      </c>
      <c r="L114" s="14" t="s">
        <v>620</v>
      </c>
      <c r="M114" s="14" t="s">
        <v>620</v>
      </c>
      <c r="N114" s="14" t="s">
        <v>620</v>
      </c>
      <c r="O114" s="14">
        <v>329</v>
      </c>
      <c r="P114" s="14">
        <v>34</v>
      </c>
      <c r="Q114" s="14" t="s">
        <v>620</v>
      </c>
      <c r="R114" s="14" t="s">
        <v>620</v>
      </c>
      <c r="S114" s="14" t="s">
        <v>620</v>
      </c>
      <c r="T114" s="14" t="s">
        <v>620</v>
      </c>
      <c r="U114" s="14">
        <v>17</v>
      </c>
      <c r="V114" s="14">
        <v>1.06</v>
      </c>
      <c r="W114" s="14">
        <v>0</v>
      </c>
      <c r="X114" s="14">
        <v>0</v>
      </c>
      <c r="Y114" s="14">
        <v>0</v>
      </c>
      <c r="Z114" s="14">
        <v>0</v>
      </c>
      <c r="AA114" s="14">
        <v>0</v>
      </c>
      <c r="AB114" s="14">
        <v>0</v>
      </c>
      <c r="AC114" s="14">
        <v>0</v>
      </c>
      <c r="AD114" s="14">
        <v>0</v>
      </c>
      <c r="AE114" s="14">
        <v>0</v>
      </c>
      <c r="AF114" s="14">
        <v>0</v>
      </c>
      <c r="AG114" s="14">
        <v>0</v>
      </c>
      <c r="AH114" s="14">
        <v>0</v>
      </c>
      <c r="AI114" s="14">
        <v>0</v>
      </c>
      <c r="AJ114" s="14">
        <v>0</v>
      </c>
      <c r="AK114" s="14">
        <v>0</v>
      </c>
      <c r="AL114" s="14">
        <v>0</v>
      </c>
      <c r="AM114" s="14">
        <v>0</v>
      </c>
      <c r="AN114" s="14">
        <v>0</v>
      </c>
      <c r="AO114" s="14">
        <v>0</v>
      </c>
      <c r="AP114" s="14">
        <v>0</v>
      </c>
      <c r="AQ114" s="14">
        <v>0</v>
      </c>
      <c r="AR114" s="14">
        <v>0</v>
      </c>
      <c r="AS114" s="14">
        <v>0</v>
      </c>
      <c r="AT114" s="14">
        <v>0</v>
      </c>
      <c r="AU114" s="14">
        <v>0</v>
      </c>
      <c r="AV114" s="14">
        <v>0</v>
      </c>
      <c r="AW114" s="14">
        <v>0</v>
      </c>
      <c r="AX114" s="14">
        <v>0</v>
      </c>
      <c r="AY114" s="14">
        <v>0</v>
      </c>
      <c r="AZ114" s="14">
        <v>0</v>
      </c>
      <c r="BA114" s="14">
        <v>0</v>
      </c>
      <c r="BB114" s="14">
        <v>0</v>
      </c>
      <c r="BC114" s="14">
        <v>0</v>
      </c>
      <c r="BD114" s="14">
        <v>0</v>
      </c>
      <c r="BE114" s="14">
        <v>0</v>
      </c>
      <c r="BF114" s="14">
        <v>0</v>
      </c>
      <c r="BG114" s="14">
        <v>0</v>
      </c>
      <c r="BH114" s="14">
        <v>0</v>
      </c>
      <c r="BI114" s="14">
        <v>0</v>
      </c>
      <c r="BJ114" s="14">
        <v>0</v>
      </c>
      <c r="BK114" s="14">
        <v>0</v>
      </c>
      <c r="BL114" s="14">
        <v>0</v>
      </c>
      <c r="BM114" s="14">
        <v>0</v>
      </c>
      <c r="BN114" s="14">
        <v>0</v>
      </c>
      <c r="BO114" s="14">
        <v>0</v>
      </c>
      <c r="BP114" s="14">
        <v>0</v>
      </c>
      <c r="BQ114" s="14">
        <v>0</v>
      </c>
      <c r="BR114" s="14">
        <v>0</v>
      </c>
      <c r="BS114" s="14">
        <v>0</v>
      </c>
      <c r="BT114" s="14">
        <v>0</v>
      </c>
      <c r="BU114" s="14">
        <v>0</v>
      </c>
      <c r="BV114" s="14">
        <v>0</v>
      </c>
      <c r="BW114" s="14">
        <v>0</v>
      </c>
      <c r="BX114" s="14">
        <v>0</v>
      </c>
      <c r="BY114" s="14">
        <v>0</v>
      </c>
      <c r="BZ114" s="14">
        <v>0</v>
      </c>
      <c r="CA114" s="14">
        <v>0</v>
      </c>
      <c r="CB114" s="14">
        <v>0</v>
      </c>
      <c r="CC114" s="14">
        <v>0</v>
      </c>
      <c r="CD114" s="14">
        <v>0</v>
      </c>
      <c r="CE114" s="14">
        <v>0</v>
      </c>
      <c r="CF114" s="14">
        <v>0</v>
      </c>
      <c r="CG114" s="14">
        <v>0</v>
      </c>
      <c r="CH114" s="14">
        <v>0</v>
      </c>
      <c r="CI114" s="14">
        <v>0</v>
      </c>
      <c r="CJ114" s="14">
        <v>0</v>
      </c>
      <c r="CK114" s="14">
        <v>0</v>
      </c>
      <c r="CL114" s="14">
        <v>0</v>
      </c>
      <c r="CM114" s="14">
        <v>0</v>
      </c>
      <c r="CN114" s="14">
        <v>0</v>
      </c>
      <c r="CO114" s="14">
        <v>0</v>
      </c>
      <c r="CP114" s="14">
        <v>0</v>
      </c>
      <c r="CQ114" s="14">
        <v>0</v>
      </c>
      <c r="CR114" s="14">
        <v>0</v>
      </c>
      <c r="CS114" s="14">
        <v>0</v>
      </c>
      <c r="CT114" s="14">
        <v>0</v>
      </c>
      <c r="CU114" s="14">
        <v>0</v>
      </c>
      <c r="CV114" s="14">
        <v>0</v>
      </c>
      <c r="CW114" s="14">
        <v>0</v>
      </c>
      <c r="CX114" s="14">
        <v>0</v>
      </c>
      <c r="CY114" s="14">
        <v>0</v>
      </c>
      <c r="CZ114" s="14">
        <v>0</v>
      </c>
      <c r="DA114" s="14">
        <v>0</v>
      </c>
      <c r="DB114" s="14">
        <v>0</v>
      </c>
      <c r="DC114" s="14">
        <v>0</v>
      </c>
      <c r="DD114" s="14">
        <v>0</v>
      </c>
      <c r="DE114" s="14">
        <v>0</v>
      </c>
      <c r="DF114" s="14">
        <v>0</v>
      </c>
      <c r="DG114" s="14">
        <v>0</v>
      </c>
      <c r="DH114" s="14">
        <v>0</v>
      </c>
      <c r="DI114" s="14">
        <v>0</v>
      </c>
      <c r="DJ114" s="14">
        <v>0</v>
      </c>
      <c r="DK114" s="14">
        <v>0</v>
      </c>
      <c r="DL114" s="14">
        <v>0</v>
      </c>
      <c r="DM114" s="14">
        <v>0</v>
      </c>
      <c r="DN114" s="14">
        <v>0</v>
      </c>
      <c r="DO114" s="14">
        <v>0</v>
      </c>
      <c r="DP114" s="14">
        <v>0</v>
      </c>
      <c r="DQ114" s="14">
        <v>0</v>
      </c>
      <c r="DR114" s="14">
        <v>0</v>
      </c>
      <c r="DS114" s="14">
        <v>0</v>
      </c>
      <c r="DT114" s="14">
        <v>0</v>
      </c>
      <c r="DU114" s="14">
        <v>0</v>
      </c>
      <c r="DV114" s="14">
        <v>0</v>
      </c>
      <c r="DW114" s="14">
        <v>0</v>
      </c>
      <c r="DX114" s="14">
        <v>0</v>
      </c>
      <c r="DY114" s="14">
        <v>0</v>
      </c>
      <c r="DZ114" s="14">
        <v>0</v>
      </c>
      <c r="EA114" s="14">
        <v>4</v>
      </c>
      <c r="EB114" s="14">
        <v>2</v>
      </c>
      <c r="EC114" s="14">
        <v>2</v>
      </c>
      <c r="ED114" s="14">
        <v>0</v>
      </c>
      <c r="EE114" s="14">
        <v>5</v>
      </c>
      <c r="EF114" s="14">
        <v>1</v>
      </c>
      <c r="EG114" s="14">
        <v>2</v>
      </c>
      <c r="EH114" s="14">
        <v>0</v>
      </c>
      <c r="EI114" s="14">
        <v>0</v>
      </c>
      <c r="EJ114" s="14">
        <v>1</v>
      </c>
      <c r="EK114" s="14">
        <v>0</v>
      </c>
      <c r="EL114" s="14">
        <v>0</v>
      </c>
      <c r="EM114" s="14">
        <v>0</v>
      </c>
      <c r="EN114" s="14">
        <v>0</v>
      </c>
    </row>
    <row r="115" spans="1:144" s="14" customFormat="1" ht="51" hidden="1" x14ac:dyDescent="0.2">
      <c r="A115" s="6" t="s">
        <v>639</v>
      </c>
      <c r="B115" s="14" t="s">
        <v>682</v>
      </c>
      <c r="C115" s="6"/>
      <c r="D115" s="6"/>
      <c r="E115" s="6"/>
      <c r="F115" s="14" t="s">
        <v>640</v>
      </c>
      <c r="G115" s="14" t="s">
        <v>641</v>
      </c>
      <c r="H115" s="14" t="s">
        <v>642</v>
      </c>
      <c r="I115" s="14">
        <v>2015</v>
      </c>
      <c r="J115" s="14">
        <v>174</v>
      </c>
      <c r="K115" s="14">
        <v>10</v>
      </c>
      <c r="L115" s="14" t="s">
        <v>620</v>
      </c>
      <c r="M115" s="14" t="s">
        <v>620</v>
      </c>
      <c r="N115" s="14" t="s">
        <v>620</v>
      </c>
      <c r="O115" s="14">
        <v>1325</v>
      </c>
      <c r="P115" s="14">
        <v>1332</v>
      </c>
      <c r="Q115" s="14" t="s">
        <v>620</v>
      </c>
      <c r="R115" s="14" t="s">
        <v>643</v>
      </c>
      <c r="S115" s="14" t="s">
        <v>620</v>
      </c>
      <c r="T115" s="14" t="s">
        <v>620</v>
      </c>
      <c r="U115" s="14">
        <v>14</v>
      </c>
      <c r="V115" s="14">
        <v>2</v>
      </c>
      <c r="W115" s="14">
        <v>0</v>
      </c>
      <c r="X115" s="14">
        <v>0</v>
      </c>
      <c r="Y115" s="14">
        <v>0</v>
      </c>
      <c r="Z115" s="14">
        <v>0</v>
      </c>
      <c r="AA115" s="14">
        <v>0</v>
      </c>
      <c r="AB115" s="14">
        <v>0</v>
      </c>
      <c r="AC115" s="14">
        <v>0</v>
      </c>
      <c r="AD115" s="14">
        <v>0</v>
      </c>
      <c r="AE115" s="14">
        <v>0</v>
      </c>
      <c r="AF115" s="14">
        <v>0</v>
      </c>
      <c r="AG115" s="14">
        <v>0</v>
      </c>
      <c r="AH115" s="14">
        <v>0</v>
      </c>
      <c r="AI115" s="14">
        <v>0</v>
      </c>
      <c r="AJ115" s="14">
        <v>0</v>
      </c>
      <c r="AK115" s="14">
        <v>0</v>
      </c>
      <c r="AL115" s="14">
        <v>0</v>
      </c>
      <c r="AM115" s="14">
        <v>0</v>
      </c>
      <c r="AN115" s="14">
        <v>0</v>
      </c>
      <c r="AO115" s="14">
        <v>0</v>
      </c>
      <c r="AP115" s="14">
        <v>0</v>
      </c>
      <c r="AQ115" s="14">
        <v>0</v>
      </c>
      <c r="AR115" s="14">
        <v>0</v>
      </c>
      <c r="AS115" s="14">
        <v>0</v>
      </c>
      <c r="AT115" s="14">
        <v>0</v>
      </c>
      <c r="AU115" s="14">
        <v>0</v>
      </c>
      <c r="AV115" s="14">
        <v>0</v>
      </c>
      <c r="AW115" s="14">
        <v>0</v>
      </c>
      <c r="AX115" s="14">
        <v>0</v>
      </c>
      <c r="AY115" s="14">
        <v>0</v>
      </c>
      <c r="AZ115" s="14">
        <v>0</v>
      </c>
      <c r="BA115" s="14">
        <v>0</v>
      </c>
      <c r="BB115" s="14">
        <v>0</v>
      </c>
      <c r="BC115" s="14">
        <v>0</v>
      </c>
      <c r="BD115" s="14">
        <v>0</v>
      </c>
      <c r="BE115" s="14">
        <v>0</v>
      </c>
      <c r="BF115" s="14">
        <v>0</v>
      </c>
      <c r="BG115" s="14">
        <v>0</v>
      </c>
      <c r="BH115" s="14">
        <v>0</v>
      </c>
      <c r="BI115" s="14">
        <v>0</v>
      </c>
      <c r="BJ115" s="14">
        <v>0</v>
      </c>
      <c r="BK115" s="14">
        <v>0</v>
      </c>
      <c r="BL115" s="14">
        <v>0</v>
      </c>
      <c r="BM115" s="14">
        <v>0</v>
      </c>
      <c r="BN115" s="14">
        <v>0</v>
      </c>
      <c r="BO115" s="14">
        <v>0</v>
      </c>
      <c r="BP115" s="14">
        <v>0</v>
      </c>
      <c r="BQ115" s="14">
        <v>0</v>
      </c>
      <c r="BR115" s="14">
        <v>0</v>
      </c>
      <c r="BS115" s="14">
        <v>0</v>
      </c>
      <c r="BT115" s="14">
        <v>0</v>
      </c>
      <c r="BU115" s="14">
        <v>0</v>
      </c>
      <c r="BV115" s="14">
        <v>0</v>
      </c>
      <c r="BW115" s="14">
        <v>0</v>
      </c>
      <c r="BX115" s="14">
        <v>0</v>
      </c>
      <c r="BY115" s="14">
        <v>0</v>
      </c>
      <c r="BZ115" s="14">
        <v>0</v>
      </c>
      <c r="CA115" s="14">
        <v>0</v>
      </c>
      <c r="CB115" s="14">
        <v>0</v>
      </c>
      <c r="CC115" s="14">
        <v>0</v>
      </c>
      <c r="CD115" s="14">
        <v>0</v>
      </c>
      <c r="CE115" s="14">
        <v>0</v>
      </c>
      <c r="CF115" s="14">
        <v>0</v>
      </c>
      <c r="CG115" s="14">
        <v>0</v>
      </c>
      <c r="CH115" s="14">
        <v>0</v>
      </c>
      <c r="CI115" s="14">
        <v>0</v>
      </c>
      <c r="CJ115" s="14">
        <v>0</v>
      </c>
      <c r="CK115" s="14">
        <v>0</v>
      </c>
      <c r="CL115" s="14">
        <v>0</v>
      </c>
      <c r="CM115" s="14">
        <v>0</v>
      </c>
      <c r="CN115" s="14">
        <v>0</v>
      </c>
      <c r="CO115" s="14">
        <v>0</v>
      </c>
      <c r="CP115" s="14">
        <v>0</v>
      </c>
      <c r="CQ115" s="14">
        <v>0</v>
      </c>
      <c r="CR115" s="14">
        <v>0</v>
      </c>
      <c r="CS115" s="14">
        <v>0</v>
      </c>
      <c r="CT115" s="14">
        <v>0</v>
      </c>
      <c r="CU115" s="14">
        <v>0</v>
      </c>
      <c r="CV115" s="14">
        <v>0</v>
      </c>
      <c r="CW115" s="14">
        <v>0</v>
      </c>
      <c r="CX115" s="14">
        <v>0</v>
      </c>
      <c r="CY115" s="14">
        <v>0</v>
      </c>
      <c r="CZ115" s="14">
        <v>0</v>
      </c>
      <c r="DA115" s="14">
        <v>0</v>
      </c>
      <c r="DB115" s="14">
        <v>0</v>
      </c>
      <c r="DC115" s="14">
        <v>0</v>
      </c>
      <c r="DD115" s="14">
        <v>0</v>
      </c>
      <c r="DE115" s="14">
        <v>0</v>
      </c>
      <c r="DF115" s="14">
        <v>0</v>
      </c>
      <c r="DG115" s="14">
        <v>0</v>
      </c>
      <c r="DH115" s="14">
        <v>0</v>
      </c>
      <c r="DI115" s="14">
        <v>0</v>
      </c>
      <c r="DJ115" s="14">
        <v>0</v>
      </c>
      <c r="DK115" s="14">
        <v>0</v>
      </c>
      <c r="DL115" s="14">
        <v>0</v>
      </c>
      <c r="DM115" s="14">
        <v>0</v>
      </c>
      <c r="DN115" s="14">
        <v>0</v>
      </c>
      <c r="DO115" s="14">
        <v>0</v>
      </c>
      <c r="DP115" s="14">
        <v>0</v>
      </c>
      <c r="DQ115" s="14">
        <v>0</v>
      </c>
      <c r="DR115" s="14">
        <v>0</v>
      </c>
      <c r="DS115" s="14">
        <v>0</v>
      </c>
      <c r="DT115" s="14">
        <v>0</v>
      </c>
      <c r="DU115" s="14">
        <v>0</v>
      </c>
      <c r="DV115" s="14">
        <v>0</v>
      </c>
      <c r="DW115" s="14">
        <v>0</v>
      </c>
      <c r="DX115" s="14">
        <v>0</v>
      </c>
      <c r="DY115" s="14">
        <v>0</v>
      </c>
      <c r="DZ115" s="14">
        <v>0</v>
      </c>
      <c r="EA115" s="14">
        <v>0</v>
      </c>
      <c r="EB115" s="14">
        <v>0</v>
      </c>
      <c r="EC115" s="14">
        <v>0</v>
      </c>
      <c r="ED115" s="14">
        <v>0</v>
      </c>
      <c r="EE115" s="14">
        <v>0</v>
      </c>
      <c r="EF115" s="14">
        <v>0</v>
      </c>
      <c r="EG115" s="14">
        <v>0</v>
      </c>
      <c r="EH115" s="14">
        <v>0</v>
      </c>
      <c r="EI115" s="14">
        <v>5</v>
      </c>
      <c r="EJ115" s="14">
        <v>3</v>
      </c>
      <c r="EK115" s="14">
        <v>3</v>
      </c>
      <c r="EL115" s="14">
        <v>3</v>
      </c>
      <c r="EM115" s="14">
        <v>0</v>
      </c>
      <c r="EN115" s="14">
        <v>0</v>
      </c>
    </row>
    <row r="116" spans="1:144" s="14" customFormat="1" ht="17" hidden="1" x14ac:dyDescent="0.2">
      <c r="A116" s="6" t="s">
        <v>644</v>
      </c>
      <c r="B116" s="14" t="s">
        <v>682</v>
      </c>
      <c r="C116" s="6"/>
      <c r="D116" s="6"/>
      <c r="E116" s="6"/>
      <c r="F116" s="14" t="s">
        <v>645</v>
      </c>
      <c r="G116" s="14" t="s">
        <v>646</v>
      </c>
      <c r="H116" s="14" t="s">
        <v>647</v>
      </c>
      <c r="I116" s="14">
        <v>2015</v>
      </c>
      <c r="J116" s="14">
        <v>34</v>
      </c>
      <c r="K116" s="14">
        <v>6</v>
      </c>
      <c r="L116" s="14" t="s">
        <v>620</v>
      </c>
      <c r="M116" s="14" t="s">
        <v>620</v>
      </c>
      <c r="N116" s="14" t="s">
        <v>620</v>
      </c>
      <c r="O116" s="14">
        <v>360</v>
      </c>
      <c r="P116" s="14">
        <v>8</v>
      </c>
      <c r="Q116" s="14" t="s">
        <v>620</v>
      </c>
      <c r="R116" s="14" t="s">
        <v>648</v>
      </c>
      <c r="S116" s="14" t="s">
        <v>620</v>
      </c>
      <c r="T116" s="14" t="s">
        <v>620</v>
      </c>
      <c r="U116" s="14">
        <v>13</v>
      </c>
      <c r="V116" s="14">
        <v>1.86</v>
      </c>
      <c r="W116" s="14">
        <v>0</v>
      </c>
      <c r="X116" s="14">
        <v>0</v>
      </c>
      <c r="Y116" s="14">
        <v>0</v>
      </c>
      <c r="Z116" s="14">
        <v>0</v>
      </c>
      <c r="AA116" s="14">
        <v>0</v>
      </c>
      <c r="AB116" s="14">
        <v>0</v>
      </c>
      <c r="AC116" s="14">
        <v>0</v>
      </c>
      <c r="AD116" s="14">
        <v>0</v>
      </c>
      <c r="AE116" s="14">
        <v>0</v>
      </c>
      <c r="AF116" s="14">
        <v>0</v>
      </c>
      <c r="AG116" s="14">
        <v>0</v>
      </c>
      <c r="AH116" s="14">
        <v>0</v>
      </c>
      <c r="AI116" s="14">
        <v>0</v>
      </c>
      <c r="AJ116" s="14">
        <v>0</v>
      </c>
      <c r="AK116" s="14">
        <v>0</v>
      </c>
      <c r="AL116" s="14">
        <v>0</v>
      </c>
      <c r="AM116" s="14">
        <v>0</v>
      </c>
      <c r="AN116" s="14">
        <v>0</v>
      </c>
      <c r="AO116" s="14">
        <v>0</v>
      </c>
      <c r="AP116" s="14">
        <v>0</v>
      </c>
      <c r="AQ116" s="14">
        <v>0</v>
      </c>
      <c r="AR116" s="14">
        <v>0</v>
      </c>
      <c r="AS116" s="14">
        <v>0</v>
      </c>
      <c r="AT116" s="14">
        <v>0</v>
      </c>
      <c r="AU116" s="14">
        <v>0</v>
      </c>
      <c r="AV116" s="14">
        <v>0</v>
      </c>
      <c r="AW116" s="14">
        <v>0</v>
      </c>
      <c r="AX116" s="14">
        <v>0</v>
      </c>
      <c r="AY116" s="14">
        <v>0</v>
      </c>
      <c r="AZ116" s="14">
        <v>0</v>
      </c>
      <c r="BA116" s="14">
        <v>0</v>
      </c>
      <c r="BB116" s="14">
        <v>0</v>
      </c>
      <c r="BC116" s="14">
        <v>0</v>
      </c>
      <c r="BD116" s="14">
        <v>0</v>
      </c>
      <c r="BE116" s="14">
        <v>0</v>
      </c>
      <c r="BF116" s="14">
        <v>0</v>
      </c>
      <c r="BG116" s="14">
        <v>0</v>
      </c>
      <c r="BH116" s="14">
        <v>0</v>
      </c>
      <c r="BI116" s="14">
        <v>0</v>
      </c>
      <c r="BJ116" s="14">
        <v>0</v>
      </c>
      <c r="BK116" s="14">
        <v>0</v>
      </c>
      <c r="BL116" s="14">
        <v>0</v>
      </c>
      <c r="BM116" s="14">
        <v>0</v>
      </c>
      <c r="BN116" s="14">
        <v>0</v>
      </c>
      <c r="BO116" s="14">
        <v>0</v>
      </c>
      <c r="BP116" s="14">
        <v>0</v>
      </c>
      <c r="BQ116" s="14">
        <v>0</v>
      </c>
      <c r="BR116" s="14">
        <v>0</v>
      </c>
      <c r="BS116" s="14">
        <v>0</v>
      </c>
      <c r="BT116" s="14">
        <v>0</v>
      </c>
      <c r="BU116" s="14">
        <v>0</v>
      </c>
      <c r="BV116" s="14">
        <v>0</v>
      </c>
      <c r="BW116" s="14">
        <v>0</v>
      </c>
      <c r="BX116" s="14">
        <v>0</v>
      </c>
      <c r="BY116" s="14">
        <v>0</v>
      </c>
      <c r="BZ116" s="14">
        <v>0</v>
      </c>
      <c r="CA116" s="14">
        <v>0</v>
      </c>
      <c r="CB116" s="14">
        <v>0</v>
      </c>
      <c r="CC116" s="14">
        <v>0</v>
      </c>
      <c r="CD116" s="14">
        <v>0</v>
      </c>
      <c r="CE116" s="14">
        <v>0</v>
      </c>
      <c r="CF116" s="14">
        <v>0</v>
      </c>
      <c r="CG116" s="14">
        <v>0</v>
      </c>
      <c r="CH116" s="14">
        <v>0</v>
      </c>
      <c r="CI116" s="14">
        <v>0</v>
      </c>
      <c r="CJ116" s="14">
        <v>0</v>
      </c>
      <c r="CK116" s="14">
        <v>0</v>
      </c>
      <c r="CL116" s="14">
        <v>0</v>
      </c>
      <c r="CM116" s="14">
        <v>0</v>
      </c>
      <c r="CN116" s="14">
        <v>0</v>
      </c>
      <c r="CO116" s="14">
        <v>0</v>
      </c>
      <c r="CP116" s="14">
        <v>0</v>
      </c>
      <c r="CQ116" s="14">
        <v>0</v>
      </c>
      <c r="CR116" s="14">
        <v>0</v>
      </c>
      <c r="CS116" s="14">
        <v>0</v>
      </c>
      <c r="CT116" s="14">
        <v>0</v>
      </c>
      <c r="CU116" s="14">
        <v>0</v>
      </c>
      <c r="CV116" s="14">
        <v>0</v>
      </c>
      <c r="CW116" s="14">
        <v>0</v>
      </c>
      <c r="CX116" s="14">
        <v>0</v>
      </c>
      <c r="CY116" s="14">
        <v>0</v>
      </c>
      <c r="CZ116" s="14">
        <v>0</v>
      </c>
      <c r="DA116" s="14">
        <v>0</v>
      </c>
      <c r="DB116" s="14">
        <v>0</v>
      </c>
      <c r="DC116" s="14">
        <v>0</v>
      </c>
      <c r="DD116" s="14">
        <v>0</v>
      </c>
      <c r="DE116" s="14">
        <v>0</v>
      </c>
      <c r="DF116" s="14">
        <v>0</v>
      </c>
      <c r="DG116" s="14">
        <v>0</v>
      </c>
      <c r="DH116" s="14">
        <v>0</v>
      </c>
      <c r="DI116" s="14">
        <v>0</v>
      </c>
      <c r="DJ116" s="14">
        <v>0</v>
      </c>
      <c r="DK116" s="14">
        <v>0</v>
      </c>
      <c r="DL116" s="14">
        <v>0</v>
      </c>
      <c r="DM116" s="14">
        <v>0</v>
      </c>
      <c r="DN116" s="14">
        <v>0</v>
      </c>
      <c r="DO116" s="14">
        <v>0</v>
      </c>
      <c r="DP116" s="14">
        <v>0</v>
      </c>
      <c r="DQ116" s="14">
        <v>0</v>
      </c>
      <c r="DR116" s="14">
        <v>0</v>
      </c>
      <c r="DS116" s="14">
        <v>0</v>
      </c>
      <c r="DT116" s="14">
        <v>0</v>
      </c>
      <c r="DU116" s="14">
        <v>0</v>
      </c>
      <c r="DV116" s="14">
        <v>0</v>
      </c>
      <c r="DW116" s="14">
        <v>0</v>
      </c>
      <c r="DX116" s="14">
        <v>0</v>
      </c>
      <c r="DY116" s="14">
        <v>0</v>
      </c>
      <c r="DZ116" s="14">
        <v>0</v>
      </c>
      <c r="EA116" s="14">
        <v>0</v>
      </c>
      <c r="EB116" s="14">
        <v>0</v>
      </c>
      <c r="EC116" s="14">
        <v>0</v>
      </c>
      <c r="ED116" s="14">
        <v>0</v>
      </c>
      <c r="EE116" s="14">
        <v>0</v>
      </c>
      <c r="EF116" s="14">
        <v>0</v>
      </c>
      <c r="EG116" s="14">
        <v>0</v>
      </c>
      <c r="EH116" s="14">
        <v>0</v>
      </c>
      <c r="EI116" s="14">
        <v>2</v>
      </c>
      <c r="EJ116" s="14">
        <v>2</v>
      </c>
      <c r="EK116" s="14">
        <v>4</v>
      </c>
      <c r="EL116" s="14">
        <v>2</v>
      </c>
      <c r="EM116" s="14">
        <v>2</v>
      </c>
      <c r="EN116" s="14">
        <v>1</v>
      </c>
    </row>
    <row r="117" spans="1:144" s="14" customFormat="1" ht="34" hidden="1" x14ac:dyDescent="0.2">
      <c r="A117" s="6" t="s">
        <v>649</v>
      </c>
      <c r="B117" s="14" t="s">
        <v>682</v>
      </c>
      <c r="C117" s="6"/>
      <c r="D117" s="6"/>
      <c r="E117" s="6"/>
      <c r="F117" s="14" t="s">
        <v>650</v>
      </c>
      <c r="G117" s="14" t="s">
        <v>651</v>
      </c>
      <c r="H117" s="14" t="s">
        <v>652</v>
      </c>
      <c r="I117" s="14">
        <v>2014</v>
      </c>
      <c r="J117" s="14">
        <v>29</v>
      </c>
      <c r="K117" s="14">
        <v>6</v>
      </c>
      <c r="L117" s="14" t="s">
        <v>620</v>
      </c>
      <c r="M117" s="14" t="s">
        <v>620</v>
      </c>
      <c r="N117" s="14" t="s">
        <v>620</v>
      </c>
      <c r="O117" s="14">
        <v>576</v>
      </c>
      <c r="P117" s="14">
        <v>579</v>
      </c>
      <c r="Q117" s="14" t="s">
        <v>620</v>
      </c>
      <c r="R117" s="14" t="s">
        <v>653</v>
      </c>
      <c r="S117" s="14" t="s">
        <v>620</v>
      </c>
      <c r="T117" s="14" t="s">
        <v>620</v>
      </c>
      <c r="U117" s="14">
        <v>8</v>
      </c>
      <c r="V117" s="14">
        <v>1</v>
      </c>
      <c r="W117" s="14">
        <v>0</v>
      </c>
      <c r="X117" s="14">
        <v>0</v>
      </c>
      <c r="Y117" s="14">
        <v>0</v>
      </c>
      <c r="Z117" s="14">
        <v>0</v>
      </c>
      <c r="AA117" s="14">
        <v>0</v>
      </c>
      <c r="AB117" s="14">
        <v>0</v>
      </c>
      <c r="AC117" s="14">
        <v>0</v>
      </c>
      <c r="AD117" s="14">
        <v>0</v>
      </c>
      <c r="AE117" s="14">
        <v>0</v>
      </c>
      <c r="AF117" s="14">
        <v>0</v>
      </c>
      <c r="AG117" s="14">
        <v>0</v>
      </c>
      <c r="AH117" s="14">
        <v>0</v>
      </c>
      <c r="AI117" s="14">
        <v>0</v>
      </c>
      <c r="AJ117" s="14">
        <v>0</v>
      </c>
      <c r="AK117" s="14">
        <v>0</v>
      </c>
      <c r="AL117" s="14">
        <v>0</v>
      </c>
      <c r="AM117" s="14">
        <v>0</v>
      </c>
      <c r="AN117" s="14">
        <v>0</v>
      </c>
      <c r="AO117" s="14">
        <v>0</v>
      </c>
      <c r="AP117" s="14">
        <v>0</v>
      </c>
      <c r="AQ117" s="14">
        <v>0</v>
      </c>
      <c r="AR117" s="14">
        <v>0</v>
      </c>
      <c r="AS117" s="14">
        <v>0</v>
      </c>
      <c r="AT117" s="14">
        <v>0</v>
      </c>
      <c r="AU117" s="14">
        <v>0</v>
      </c>
      <c r="AV117" s="14">
        <v>0</v>
      </c>
      <c r="AW117" s="14">
        <v>0</v>
      </c>
      <c r="AX117" s="14">
        <v>0</v>
      </c>
      <c r="AY117" s="14">
        <v>0</v>
      </c>
      <c r="AZ117" s="14">
        <v>0</v>
      </c>
      <c r="BA117" s="14">
        <v>0</v>
      </c>
      <c r="BB117" s="14">
        <v>0</v>
      </c>
      <c r="BC117" s="14">
        <v>0</v>
      </c>
      <c r="BD117" s="14">
        <v>0</v>
      </c>
      <c r="BE117" s="14">
        <v>0</v>
      </c>
      <c r="BF117" s="14">
        <v>0</v>
      </c>
      <c r="BG117" s="14">
        <v>0</v>
      </c>
      <c r="BH117" s="14">
        <v>0</v>
      </c>
      <c r="BI117" s="14">
        <v>0</v>
      </c>
      <c r="BJ117" s="14">
        <v>0</v>
      </c>
      <c r="BK117" s="14">
        <v>0</v>
      </c>
      <c r="BL117" s="14">
        <v>0</v>
      </c>
      <c r="BM117" s="14">
        <v>0</v>
      </c>
      <c r="BN117" s="14">
        <v>0</v>
      </c>
      <c r="BO117" s="14">
        <v>0</v>
      </c>
      <c r="BP117" s="14">
        <v>0</v>
      </c>
      <c r="BQ117" s="14">
        <v>0</v>
      </c>
      <c r="BR117" s="14">
        <v>0</v>
      </c>
      <c r="BS117" s="14">
        <v>0</v>
      </c>
      <c r="BT117" s="14">
        <v>0</v>
      </c>
      <c r="BU117" s="14">
        <v>0</v>
      </c>
      <c r="BV117" s="14">
        <v>0</v>
      </c>
      <c r="BW117" s="14">
        <v>0</v>
      </c>
      <c r="BX117" s="14">
        <v>0</v>
      </c>
      <c r="BY117" s="14">
        <v>0</v>
      </c>
      <c r="BZ117" s="14">
        <v>0</v>
      </c>
      <c r="CA117" s="14">
        <v>0</v>
      </c>
      <c r="CB117" s="14">
        <v>0</v>
      </c>
      <c r="CC117" s="14">
        <v>0</v>
      </c>
      <c r="CD117" s="14">
        <v>0</v>
      </c>
      <c r="CE117" s="14">
        <v>0</v>
      </c>
      <c r="CF117" s="14">
        <v>0</v>
      </c>
      <c r="CG117" s="14">
        <v>0</v>
      </c>
      <c r="CH117" s="14">
        <v>0</v>
      </c>
      <c r="CI117" s="14">
        <v>0</v>
      </c>
      <c r="CJ117" s="14">
        <v>0</v>
      </c>
      <c r="CK117" s="14">
        <v>0</v>
      </c>
      <c r="CL117" s="14">
        <v>0</v>
      </c>
      <c r="CM117" s="14">
        <v>0</v>
      </c>
      <c r="CN117" s="14">
        <v>0</v>
      </c>
      <c r="CO117" s="14">
        <v>0</v>
      </c>
      <c r="CP117" s="14">
        <v>0</v>
      </c>
      <c r="CQ117" s="14">
        <v>0</v>
      </c>
      <c r="CR117" s="14">
        <v>0</v>
      </c>
      <c r="CS117" s="14">
        <v>0</v>
      </c>
      <c r="CT117" s="14">
        <v>0</v>
      </c>
      <c r="CU117" s="14">
        <v>0</v>
      </c>
      <c r="CV117" s="14">
        <v>0</v>
      </c>
      <c r="CW117" s="14">
        <v>0</v>
      </c>
      <c r="CX117" s="14">
        <v>0</v>
      </c>
      <c r="CY117" s="14">
        <v>0</v>
      </c>
      <c r="CZ117" s="14">
        <v>0</v>
      </c>
      <c r="DA117" s="14">
        <v>0</v>
      </c>
      <c r="DB117" s="14">
        <v>0</v>
      </c>
      <c r="DC117" s="14">
        <v>0</v>
      </c>
      <c r="DD117" s="14">
        <v>0</v>
      </c>
      <c r="DE117" s="14">
        <v>0</v>
      </c>
      <c r="DF117" s="14">
        <v>0</v>
      </c>
      <c r="DG117" s="14">
        <v>0</v>
      </c>
      <c r="DH117" s="14">
        <v>0</v>
      </c>
      <c r="DI117" s="14">
        <v>0</v>
      </c>
      <c r="DJ117" s="14">
        <v>0</v>
      </c>
      <c r="DK117" s="14">
        <v>0</v>
      </c>
      <c r="DL117" s="14">
        <v>0</v>
      </c>
      <c r="DM117" s="14">
        <v>0</v>
      </c>
      <c r="DN117" s="14">
        <v>0</v>
      </c>
      <c r="DO117" s="14">
        <v>0</v>
      </c>
      <c r="DP117" s="14">
        <v>0</v>
      </c>
      <c r="DQ117" s="14">
        <v>0</v>
      </c>
      <c r="DR117" s="14">
        <v>0</v>
      </c>
      <c r="DS117" s="14">
        <v>0</v>
      </c>
      <c r="DT117" s="14">
        <v>0</v>
      </c>
      <c r="DU117" s="14">
        <v>0</v>
      </c>
      <c r="DV117" s="14">
        <v>0</v>
      </c>
      <c r="DW117" s="14">
        <v>0</v>
      </c>
      <c r="DX117" s="14">
        <v>0</v>
      </c>
      <c r="DY117" s="14">
        <v>0</v>
      </c>
      <c r="DZ117" s="14">
        <v>0</v>
      </c>
      <c r="EA117" s="14">
        <v>0</v>
      </c>
      <c r="EB117" s="14">
        <v>0</v>
      </c>
      <c r="EC117" s="14">
        <v>0</v>
      </c>
      <c r="ED117" s="14">
        <v>0</v>
      </c>
      <c r="EE117" s="14">
        <v>0</v>
      </c>
      <c r="EF117" s="14">
        <v>0</v>
      </c>
      <c r="EG117" s="14">
        <v>0</v>
      </c>
      <c r="EH117" s="14">
        <v>0</v>
      </c>
      <c r="EI117" s="14">
        <v>2</v>
      </c>
      <c r="EJ117" s="14">
        <v>1</v>
      </c>
      <c r="EK117" s="14">
        <v>2</v>
      </c>
      <c r="EL117" s="14">
        <v>1</v>
      </c>
      <c r="EM117" s="14">
        <v>1</v>
      </c>
      <c r="EN117" s="14">
        <v>1</v>
      </c>
    </row>
    <row r="118" spans="1:144" s="14" customFormat="1" ht="17" hidden="1" x14ac:dyDescent="0.2">
      <c r="A118" s="6" t="s">
        <v>654</v>
      </c>
      <c r="B118" s="14" t="s">
        <v>682</v>
      </c>
      <c r="C118" s="6"/>
      <c r="D118" s="6"/>
      <c r="E118" s="6"/>
      <c r="F118" s="14" t="s">
        <v>655</v>
      </c>
      <c r="G118" s="14" t="s">
        <v>656</v>
      </c>
      <c r="H118" s="14" t="s">
        <v>657</v>
      </c>
      <c r="I118" s="14">
        <v>2017</v>
      </c>
      <c r="J118" s="14">
        <v>17</v>
      </c>
      <c r="K118" s="14" t="s">
        <v>620</v>
      </c>
      <c r="L118" s="14" t="s">
        <v>620</v>
      </c>
      <c r="M118" s="14" t="s">
        <v>620</v>
      </c>
      <c r="N118" s="14" t="s">
        <v>620</v>
      </c>
      <c r="O118" s="14" t="s">
        <v>620</v>
      </c>
      <c r="P118" s="14" t="s">
        <v>620</v>
      </c>
      <c r="Q118" s="14">
        <v>18</v>
      </c>
      <c r="R118" s="14" t="s">
        <v>658</v>
      </c>
      <c r="S118" s="14" t="s">
        <v>620</v>
      </c>
      <c r="T118" s="14" t="s">
        <v>620</v>
      </c>
      <c r="U118" s="14">
        <v>4</v>
      </c>
      <c r="V118" s="14">
        <v>0.8</v>
      </c>
      <c r="W118" s="14">
        <v>0</v>
      </c>
      <c r="X118" s="14">
        <v>0</v>
      </c>
      <c r="Y118" s="14">
        <v>0</v>
      </c>
      <c r="Z118" s="14">
        <v>0</v>
      </c>
      <c r="AA118" s="14">
        <v>0</v>
      </c>
      <c r="AB118" s="14">
        <v>0</v>
      </c>
      <c r="AC118" s="14">
        <v>0</v>
      </c>
      <c r="AD118" s="14">
        <v>0</v>
      </c>
      <c r="AE118" s="14">
        <v>0</v>
      </c>
      <c r="AF118" s="14">
        <v>0</v>
      </c>
      <c r="AG118" s="14">
        <v>0</v>
      </c>
      <c r="AH118" s="14">
        <v>0</v>
      </c>
      <c r="AI118" s="14">
        <v>0</v>
      </c>
      <c r="AJ118" s="14">
        <v>0</v>
      </c>
      <c r="AK118" s="14">
        <v>0</v>
      </c>
      <c r="AL118" s="14">
        <v>0</v>
      </c>
      <c r="AM118" s="14">
        <v>0</v>
      </c>
      <c r="AN118" s="14">
        <v>0</v>
      </c>
      <c r="AO118" s="14">
        <v>0</v>
      </c>
      <c r="AP118" s="14">
        <v>0</v>
      </c>
      <c r="AQ118" s="14">
        <v>0</v>
      </c>
      <c r="AR118" s="14">
        <v>0</v>
      </c>
      <c r="AS118" s="14">
        <v>0</v>
      </c>
      <c r="AT118" s="14">
        <v>0</v>
      </c>
      <c r="AU118" s="14">
        <v>0</v>
      </c>
      <c r="AV118" s="14">
        <v>0</v>
      </c>
      <c r="AW118" s="14">
        <v>0</v>
      </c>
      <c r="AX118" s="14">
        <v>0</v>
      </c>
      <c r="AY118" s="14">
        <v>0</v>
      </c>
      <c r="AZ118" s="14">
        <v>0</v>
      </c>
      <c r="BA118" s="14">
        <v>0</v>
      </c>
      <c r="BB118" s="14">
        <v>0</v>
      </c>
      <c r="BC118" s="14">
        <v>0</v>
      </c>
      <c r="BD118" s="14">
        <v>0</v>
      </c>
      <c r="BE118" s="14">
        <v>0</v>
      </c>
      <c r="BF118" s="14">
        <v>0</v>
      </c>
      <c r="BG118" s="14">
        <v>0</v>
      </c>
      <c r="BH118" s="14">
        <v>0</v>
      </c>
      <c r="BI118" s="14">
        <v>0</v>
      </c>
      <c r="BJ118" s="14">
        <v>0</v>
      </c>
      <c r="BK118" s="14">
        <v>0</v>
      </c>
      <c r="BL118" s="14">
        <v>0</v>
      </c>
      <c r="BM118" s="14">
        <v>0</v>
      </c>
      <c r="BN118" s="14">
        <v>0</v>
      </c>
      <c r="BO118" s="14">
        <v>0</v>
      </c>
      <c r="BP118" s="14">
        <v>0</v>
      </c>
      <c r="BQ118" s="14">
        <v>0</v>
      </c>
      <c r="BR118" s="14">
        <v>0</v>
      </c>
      <c r="BS118" s="14">
        <v>0</v>
      </c>
      <c r="BT118" s="14">
        <v>0</v>
      </c>
      <c r="BU118" s="14">
        <v>0</v>
      </c>
      <c r="BV118" s="14">
        <v>0</v>
      </c>
      <c r="BW118" s="14">
        <v>0</v>
      </c>
      <c r="BX118" s="14">
        <v>0</v>
      </c>
      <c r="BY118" s="14">
        <v>0</v>
      </c>
      <c r="BZ118" s="14">
        <v>0</v>
      </c>
      <c r="CA118" s="14">
        <v>0</v>
      </c>
      <c r="CB118" s="14">
        <v>0</v>
      </c>
      <c r="CC118" s="14">
        <v>0</v>
      </c>
      <c r="CD118" s="14">
        <v>0</v>
      </c>
      <c r="CE118" s="14">
        <v>0</v>
      </c>
      <c r="CF118" s="14">
        <v>0</v>
      </c>
      <c r="CG118" s="14">
        <v>0</v>
      </c>
      <c r="CH118" s="14">
        <v>0</v>
      </c>
      <c r="CI118" s="14">
        <v>0</v>
      </c>
      <c r="CJ118" s="14">
        <v>0</v>
      </c>
      <c r="CK118" s="14">
        <v>0</v>
      </c>
      <c r="CL118" s="14">
        <v>0</v>
      </c>
      <c r="CM118" s="14">
        <v>0</v>
      </c>
      <c r="CN118" s="14">
        <v>0</v>
      </c>
      <c r="CO118" s="14">
        <v>0</v>
      </c>
      <c r="CP118" s="14">
        <v>0</v>
      </c>
      <c r="CQ118" s="14">
        <v>0</v>
      </c>
      <c r="CR118" s="14">
        <v>0</v>
      </c>
      <c r="CS118" s="14">
        <v>0</v>
      </c>
      <c r="CT118" s="14">
        <v>0</v>
      </c>
      <c r="CU118" s="14">
        <v>0</v>
      </c>
      <c r="CV118" s="14">
        <v>0</v>
      </c>
      <c r="CW118" s="14">
        <v>0</v>
      </c>
      <c r="CX118" s="14">
        <v>0</v>
      </c>
      <c r="CY118" s="14">
        <v>0</v>
      </c>
      <c r="CZ118" s="14">
        <v>0</v>
      </c>
      <c r="DA118" s="14">
        <v>0</v>
      </c>
      <c r="DB118" s="14">
        <v>0</v>
      </c>
      <c r="DC118" s="14">
        <v>0</v>
      </c>
      <c r="DD118" s="14">
        <v>0</v>
      </c>
      <c r="DE118" s="14">
        <v>0</v>
      </c>
      <c r="DF118" s="14">
        <v>0</v>
      </c>
      <c r="DG118" s="14">
        <v>0</v>
      </c>
      <c r="DH118" s="14">
        <v>0</v>
      </c>
      <c r="DI118" s="14">
        <v>0</v>
      </c>
      <c r="DJ118" s="14">
        <v>0</v>
      </c>
      <c r="DK118" s="14">
        <v>0</v>
      </c>
      <c r="DL118" s="14">
        <v>0</v>
      </c>
      <c r="DM118" s="14">
        <v>0</v>
      </c>
      <c r="DN118" s="14">
        <v>0</v>
      </c>
      <c r="DO118" s="14">
        <v>0</v>
      </c>
      <c r="DP118" s="14">
        <v>0</v>
      </c>
      <c r="DQ118" s="14">
        <v>0</v>
      </c>
      <c r="DR118" s="14">
        <v>0</v>
      </c>
      <c r="DS118" s="14">
        <v>0</v>
      </c>
      <c r="DT118" s="14">
        <v>0</v>
      </c>
      <c r="DU118" s="14">
        <v>0</v>
      </c>
      <c r="DV118" s="14">
        <v>0</v>
      </c>
      <c r="DW118" s="14">
        <v>0</v>
      </c>
      <c r="DX118" s="14">
        <v>0</v>
      </c>
      <c r="DY118" s="14">
        <v>0</v>
      </c>
      <c r="DZ118" s="14">
        <v>0</v>
      </c>
      <c r="EA118" s="14">
        <v>0</v>
      </c>
      <c r="EB118" s="14">
        <v>0</v>
      </c>
      <c r="EC118" s="14">
        <v>0</v>
      </c>
      <c r="ED118" s="14">
        <v>0</v>
      </c>
      <c r="EE118" s="14">
        <v>0</v>
      </c>
      <c r="EF118" s="14">
        <v>0</v>
      </c>
      <c r="EG118" s="14">
        <v>0</v>
      </c>
      <c r="EH118" s="14">
        <v>0</v>
      </c>
      <c r="EI118" s="14">
        <v>0</v>
      </c>
      <c r="EJ118" s="14">
        <v>0</v>
      </c>
      <c r="EK118" s="14">
        <v>0</v>
      </c>
      <c r="EL118" s="14">
        <v>0</v>
      </c>
      <c r="EM118" s="14">
        <v>3</v>
      </c>
      <c r="EN118" s="14">
        <v>1</v>
      </c>
    </row>
    <row r="119" spans="1:144" ht="17" hidden="1" x14ac:dyDescent="0.2">
      <c r="A119" s="2" t="s">
        <v>659</v>
      </c>
      <c r="F119" t="s">
        <v>660</v>
      </c>
      <c r="G119" t="s">
        <v>344</v>
      </c>
      <c r="H119" t="s">
        <v>661</v>
      </c>
      <c r="I119">
        <v>1999</v>
      </c>
      <c r="J119">
        <v>33</v>
      </c>
      <c r="K119">
        <v>1</v>
      </c>
      <c r="L119" t="s">
        <v>620</v>
      </c>
      <c r="M119" t="s">
        <v>620</v>
      </c>
      <c r="N119" t="s">
        <v>620</v>
      </c>
      <c r="O119">
        <v>51</v>
      </c>
      <c r="P119">
        <v>55</v>
      </c>
      <c r="Q119" t="s">
        <v>620</v>
      </c>
      <c r="R119" t="s">
        <v>662</v>
      </c>
      <c r="S119" t="s">
        <v>620</v>
      </c>
      <c r="T119" t="s">
        <v>620</v>
      </c>
      <c r="U119">
        <v>4</v>
      </c>
      <c r="V119">
        <v>0.17</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1</v>
      </c>
      <c r="EA119">
        <v>2</v>
      </c>
      <c r="EB119">
        <v>1</v>
      </c>
      <c r="EC119">
        <v>0</v>
      </c>
      <c r="ED119">
        <v>0</v>
      </c>
      <c r="EE119">
        <v>0</v>
      </c>
      <c r="EF119">
        <v>0</v>
      </c>
      <c r="EG119">
        <v>0</v>
      </c>
      <c r="EH119">
        <v>0</v>
      </c>
      <c r="EI119">
        <v>0</v>
      </c>
      <c r="EJ119">
        <v>0</v>
      </c>
      <c r="EK119">
        <v>0</v>
      </c>
      <c r="EL119">
        <v>0</v>
      </c>
      <c r="EM119">
        <v>0</v>
      </c>
      <c r="EN119">
        <v>0</v>
      </c>
    </row>
    <row r="120" spans="1:144" ht="51" hidden="1" x14ac:dyDescent="0.2">
      <c r="A120" s="2" t="s">
        <v>663</v>
      </c>
      <c r="F120" t="s">
        <v>664</v>
      </c>
      <c r="G120" t="s">
        <v>26</v>
      </c>
      <c r="H120" t="s">
        <v>665</v>
      </c>
      <c r="I120">
        <v>2018</v>
      </c>
      <c r="J120">
        <v>13</v>
      </c>
      <c r="K120">
        <v>5</v>
      </c>
      <c r="L120" t="s">
        <v>620</v>
      </c>
      <c r="M120" t="s">
        <v>620</v>
      </c>
      <c r="N120" t="s">
        <v>620</v>
      </c>
      <c r="O120">
        <v>331</v>
      </c>
      <c r="P120">
        <v>340</v>
      </c>
      <c r="Q120" t="s">
        <v>620</v>
      </c>
      <c r="R120" t="s">
        <v>666</v>
      </c>
      <c r="S120" t="s">
        <v>620</v>
      </c>
      <c r="T120" t="s">
        <v>620</v>
      </c>
      <c r="U120">
        <v>3</v>
      </c>
      <c r="V120">
        <v>0.75</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1</v>
      </c>
      <c r="EM120">
        <v>2</v>
      </c>
      <c r="EN120">
        <v>0</v>
      </c>
    </row>
    <row r="121" spans="1:144" s="14" customFormat="1" ht="17" hidden="1" x14ac:dyDescent="0.2">
      <c r="A121" s="6" t="s">
        <v>667</v>
      </c>
      <c r="B121" s="13" t="s">
        <v>683</v>
      </c>
      <c r="C121" s="6"/>
      <c r="D121" s="6"/>
      <c r="E121" s="6"/>
      <c r="F121" s="14" t="s">
        <v>668</v>
      </c>
      <c r="G121" s="14" t="s">
        <v>195</v>
      </c>
      <c r="H121" s="14" t="s">
        <v>669</v>
      </c>
      <c r="I121" s="14">
        <v>2021</v>
      </c>
      <c r="J121" s="14">
        <v>21</v>
      </c>
      <c r="K121" s="14">
        <v>1</v>
      </c>
      <c r="L121" s="14" t="s">
        <v>620</v>
      </c>
      <c r="M121" s="14" t="s">
        <v>620</v>
      </c>
      <c r="N121" s="14" t="s">
        <v>620</v>
      </c>
      <c r="O121" s="14" t="s">
        <v>620</v>
      </c>
      <c r="P121" s="14" t="s">
        <v>620</v>
      </c>
      <c r="Q121" s="14">
        <v>67</v>
      </c>
      <c r="R121" s="14" t="s">
        <v>670</v>
      </c>
      <c r="S121" s="14" t="s">
        <v>620</v>
      </c>
      <c r="T121" s="14" t="s">
        <v>620</v>
      </c>
      <c r="U121" s="14">
        <v>0</v>
      </c>
      <c r="V121" s="14">
        <v>0</v>
      </c>
      <c r="W121" s="14">
        <v>0</v>
      </c>
      <c r="X121" s="14">
        <v>0</v>
      </c>
      <c r="Y121" s="14">
        <v>0</v>
      </c>
      <c r="Z121" s="14">
        <v>0</v>
      </c>
      <c r="AA121" s="14">
        <v>0</v>
      </c>
      <c r="AB121" s="14">
        <v>0</v>
      </c>
      <c r="AC121" s="14">
        <v>0</v>
      </c>
      <c r="AD121" s="14">
        <v>0</v>
      </c>
      <c r="AE121" s="14">
        <v>0</v>
      </c>
      <c r="AF121" s="14">
        <v>0</v>
      </c>
      <c r="AG121" s="14">
        <v>0</v>
      </c>
      <c r="AH121" s="14">
        <v>0</v>
      </c>
      <c r="AI121" s="14">
        <v>0</v>
      </c>
      <c r="AJ121" s="14">
        <v>0</v>
      </c>
      <c r="AK121" s="14">
        <v>0</v>
      </c>
      <c r="AL121" s="14">
        <v>0</v>
      </c>
      <c r="AM121" s="14">
        <v>0</v>
      </c>
      <c r="AN121" s="14">
        <v>0</v>
      </c>
      <c r="AO121" s="14">
        <v>0</v>
      </c>
      <c r="AP121" s="14">
        <v>0</v>
      </c>
      <c r="AQ121" s="14">
        <v>0</v>
      </c>
      <c r="AR121" s="14">
        <v>0</v>
      </c>
      <c r="AS121" s="14">
        <v>0</v>
      </c>
      <c r="AT121" s="14">
        <v>0</v>
      </c>
      <c r="AU121" s="14">
        <v>0</v>
      </c>
      <c r="AV121" s="14">
        <v>0</v>
      </c>
      <c r="AW121" s="14">
        <v>0</v>
      </c>
      <c r="AX121" s="14">
        <v>0</v>
      </c>
      <c r="AY121" s="14">
        <v>0</v>
      </c>
      <c r="AZ121" s="14">
        <v>0</v>
      </c>
      <c r="BA121" s="14">
        <v>0</v>
      </c>
      <c r="BB121" s="14">
        <v>0</v>
      </c>
      <c r="BC121" s="14">
        <v>0</v>
      </c>
      <c r="BD121" s="14">
        <v>0</v>
      </c>
      <c r="BE121" s="14">
        <v>0</v>
      </c>
      <c r="BF121" s="14">
        <v>0</v>
      </c>
      <c r="BG121" s="14">
        <v>0</v>
      </c>
      <c r="BH121" s="14">
        <v>0</v>
      </c>
      <c r="BI121" s="14">
        <v>0</v>
      </c>
      <c r="BJ121" s="14">
        <v>0</v>
      </c>
      <c r="BK121" s="14">
        <v>0</v>
      </c>
      <c r="BL121" s="14">
        <v>0</v>
      </c>
      <c r="BM121" s="14">
        <v>0</v>
      </c>
      <c r="BN121" s="14">
        <v>0</v>
      </c>
      <c r="BO121" s="14">
        <v>0</v>
      </c>
      <c r="BP121" s="14">
        <v>0</v>
      </c>
      <c r="BQ121" s="14">
        <v>0</v>
      </c>
      <c r="BR121" s="14">
        <v>0</v>
      </c>
      <c r="BS121" s="14">
        <v>0</v>
      </c>
      <c r="BT121" s="14">
        <v>0</v>
      </c>
      <c r="BU121" s="14">
        <v>0</v>
      </c>
      <c r="BV121" s="14">
        <v>0</v>
      </c>
      <c r="BW121" s="14">
        <v>0</v>
      </c>
      <c r="BX121" s="14">
        <v>0</v>
      </c>
      <c r="BY121" s="14">
        <v>0</v>
      </c>
      <c r="BZ121" s="14">
        <v>0</v>
      </c>
      <c r="CA121" s="14">
        <v>0</v>
      </c>
      <c r="CB121" s="14">
        <v>0</v>
      </c>
      <c r="CC121" s="14">
        <v>0</v>
      </c>
      <c r="CD121" s="14">
        <v>0</v>
      </c>
      <c r="CE121" s="14">
        <v>0</v>
      </c>
      <c r="CF121" s="14">
        <v>0</v>
      </c>
      <c r="CG121" s="14">
        <v>0</v>
      </c>
      <c r="CH121" s="14">
        <v>0</v>
      </c>
      <c r="CI121" s="14">
        <v>0</v>
      </c>
      <c r="CJ121" s="14">
        <v>0</v>
      </c>
      <c r="CK121" s="14">
        <v>0</v>
      </c>
      <c r="CL121" s="14">
        <v>0</v>
      </c>
      <c r="CM121" s="14">
        <v>0</v>
      </c>
      <c r="CN121" s="14">
        <v>0</v>
      </c>
      <c r="CO121" s="14">
        <v>0</v>
      </c>
      <c r="CP121" s="14">
        <v>0</v>
      </c>
      <c r="CQ121" s="14">
        <v>0</v>
      </c>
      <c r="CR121" s="14">
        <v>0</v>
      </c>
      <c r="CS121" s="14">
        <v>0</v>
      </c>
      <c r="CT121" s="14">
        <v>0</v>
      </c>
      <c r="CU121" s="14">
        <v>0</v>
      </c>
      <c r="CV121" s="14">
        <v>0</v>
      </c>
      <c r="CW121" s="14">
        <v>0</v>
      </c>
      <c r="CX121" s="14">
        <v>0</v>
      </c>
      <c r="CY121" s="14">
        <v>0</v>
      </c>
      <c r="CZ121" s="14">
        <v>0</v>
      </c>
      <c r="DA121" s="14">
        <v>0</v>
      </c>
      <c r="DB121" s="14">
        <v>0</v>
      </c>
      <c r="DC121" s="14">
        <v>0</v>
      </c>
      <c r="DD121" s="14">
        <v>0</v>
      </c>
      <c r="DE121" s="14">
        <v>0</v>
      </c>
      <c r="DF121" s="14">
        <v>0</v>
      </c>
      <c r="DG121" s="14">
        <v>0</v>
      </c>
      <c r="DH121" s="14">
        <v>0</v>
      </c>
      <c r="DI121" s="14">
        <v>0</v>
      </c>
      <c r="DJ121" s="14">
        <v>0</v>
      </c>
      <c r="DK121" s="14">
        <v>0</v>
      </c>
      <c r="DL121" s="14">
        <v>0</v>
      </c>
      <c r="DM121" s="14">
        <v>0</v>
      </c>
      <c r="DN121" s="14">
        <v>0</v>
      </c>
      <c r="DO121" s="14">
        <v>0</v>
      </c>
      <c r="DP121" s="14">
        <v>0</v>
      </c>
      <c r="DQ121" s="14">
        <v>0</v>
      </c>
      <c r="DR121" s="14">
        <v>0</v>
      </c>
      <c r="DS121" s="14">
        <v>0</v>
      </c>
      <c r="DT121" s="14">
        <v>0</v>
      </c>
      <c r="DU121" s="14">
        <v>0</v>
      </c>
      <c r="DV121" s="14">
        <v>0</v>
      </c>
      <c r="DW121" s="14">
        <v>0</v>
      </c>
      <c r="DX121" s="14">
        <v>0</v>
      </c>
      <c r="DY121" s="14">
        <v>0</v>
      </c>
      <c r="DZ121" s="14">
        <v>0</v>
      </c>
      <c r="EA121" s="14">
        <v>0</v>
      </c>
      <c r="EB121" s="14">
        <v>0</v>
      </c>
      <c r="EC121" s="14">
        <v>0</v>
      </c>
      <c r="ED121" s="14">
        <v>0</v>
      </c>
      <c r="EE121" s="14">
        <v>0</v>
      </c>
      <c r="EF121" s="14">
        <v>0</v>
      </c>
      <c r="EG121" s="14">
        <v>0</v>
      </c>
      <c r="EH121" s="14">
        <v>0</v>
      </c>
      <c r="EI121" s="14">
        <v>0</v>
      </c>
      <c r="EJ121" s="14">
        <v>0</v>
      </c>
      <c r="EK121" s="14">
        <v>0</v>
      </c>
      <c r="EL121" s="14">
        <v>0</v>
      </c>
      <c r="EM121" s="14">
        <v>0</v>
      </c>
      <c r="EN121" s="14">
        <v>0</v>
      </c>
    </row>
    <row r="122" spans="1:144" ht="34" hidden="1" x14ac:dyDescent="0.2">
      <c r="A122" s="2" t="s">
        <v>671</v>
      </c>
      <c r="F122" t="s">
        <v>672</v>
      </c>
      <c r="G122" t="s">
        <v>673</v>
      </c>
      <c r="H122" t="s">
        <v>674</v>
      </c>
      <c r="I122">
        <v>2018</v>
      </c>
      <c r="J122">
        <v>10</v>
      </c>
      <c r="K122">
        <v>3</v>
      </c>
      <c r="L122" t="s">
        <v>620</v>
      </c>
      <c r="M122" t="s">
        <v>620</v>
      </c>
      <c r="N122" t="s">
        <v>620</v>
      </c>
      <c r="O122">
        <v>183</v>
      </c>
      <c r="P122">
        <v>188</v>
      </c>
      <c r="Q122" t="s">
        <v>620</v>
      </c>
      <c r="R122" t="s">
        <v>675</v>
      </c>
      <c r="S122" t="s">
        <v>620</v>
      </c>
      <c r="T122" t="s">
        <v>620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row>
    <row r="123" spans="1:144" s="14" customFormat="1" ht="51" hidden="1" x14ac:dyDescent="0.2">
      <c r="A123" s="6" t="s">
        <v>676</v>
      </c>
      <c r="B123" s="14" t="s">
        <v>682</v>
      </c>
      <c r="C123" s="6"/>
      <c r="D123" s="6"/>
      <c r="E123" s="6"/>
      <c r="F123" s="14" t="s">
        <v>677</v>
      </c>
      <c r="G123" s="14" t="s">
        <v>678</v>
      </c>
      <c r="H123" s="14" t="s">
        <v>679</v>
      </c>
      <c r="I123" s="14">
        <v>2017</v>
      </c>
      <c r="J123" s="14">
        <v>31</v>
      </c>
      <c r="K123" s="14" t="s">
        <v>620</v>
      </c>
      <c r="L123" s="14" t="s">
        <v>620</v>
      </c>
      <c r="M123" s="14">
        <v>1</v>
      </c>
      <c r="N123" s="14" t="s">
        <v>620</v>
      </c>
      <c r="O123" s="14" t="s">
        <v>620</v>
      </c>
      <c r="P123" s="14" t="s">
        <v>620</v>
      </c>
      <c r="Q123" s="14" t="s">
        <v>620</v>
      </c>
      <c r="R123" s="14" t="s">
        <v>620</v>
      </c>
      <c r="S123" s="14" t="s">
        <v>680</v>
      </c>
      <c r="T123" s="14" t="s">
        <v>681</v>
      </c>
      <c r="U123" s="14">
        <v>0</v>
      </c>
      <c r="V123" s="14">
        <v>0</v>
      </c>
      <c r="W123" s="14">
        <v>0</v>
      </c>
      <c r="X123" s="14">
        <v>0</v>
      </c>
      <c r="Y123" s="14">
        <v>0</v>
      </c>
      <c r="Z123" s="14">
        <v>0</v>
      </c>
      <c r="AA123" s="14">
        <v>0</v>
      </c>
      <c r="AB123" s="14">
        <v>0</v>
      </c>
      <c r="AC123" s="14">
        <v>0</v>
      </c>
      <c r="AD123" s="14">
        <v>0</v>
      </c>
      <c r="AE123" s="14">
        <v>0</v>
      </c>
      <c r="AF123" s="14">
        <v>0</v>
      </c>
      <c r="AG123" s="14">
        <v>0</v>
      </c>
      <c r="AH123" s="14">
        <v>0</v>
      </c>
      <c r="AI123" s="14">
        <v>0</v>
      </c>
      <c r="AJ123" s="14">
        <v>0</v>
      </c>
      <c r="AK123" s="14">
        <v>0</v>
      </c>
      <c r="AL123" s="14">
        <v>0</v>
      </c>
      <c r="AM123" s="14">
        <v>0</v>
      </c>
      <c r="AN123" s="14">
        <v>0</v>
      </c>
      <c r="AO123" s="14">
        <v>0</v>
      </c>
      <c r="AP123" s="14">
        <v>0</v>
      </c>
      <c r="AQ123" s="14">
        <v>0</v>
      </c>
      <c r="AR123" s="14">
        <v>0</v>
      </c>
      <c r="AS123" s="14">
        <v>0</v>
      </c>
      <c r="AT123" s="14">
        <v>0</v>
      </c>
      <c r="AU123" s="14">
        <v>0</v>
      </c>
      <c r="AV123" s="14">
        <v>0</v>
      </c>
      <c r="AW123" s="14">
        <v>0</v>
      </c>
      <c r="AX123" s="14">
        <v>0</v>
      </c>
      <c r="AY123" s="14">
        <v>0</v>
      </c>
      <c r="AZ123" s="14">
        <v>0</v>
      </c>
      <c r="BA123" s="14">
        <v>0</v>
      </c>
      <c r="BB123" s="14">
        <v>0</v>
      </c>
      <c r="BC123" s="14">
        <v>0</v>
      </c>
      <c r="BD123" s="14">
        <v>0</v>
      </c>
      <c r="BE123" s="14">
        <v>0</v>
      </c>
      <c r="BF123" s="14">
        <v>0</v>
      </c>
      <c r="BG123" s="14">
        <v>0</v>
      </c>
      <c r="BH123" s="14">
        <v>0</v>
      </c>
      <c r="BI123" s="14">
        <v>0</v>
      </c>
      <c r="BJ123" s="14">
        <v>0</v>
      </c>
      <c r="BK123" s="14">
        <v>0</v>
      </c>
      <c r="BL123" s="14">
        <v>0</v>
      </c>
      <c r="BM123" s="14">
        <v>0</v>
      </c>
      <c r="BN123" s="14">
        <v>0</v>
      </c>
      <c r="BO123" s="14">
        <v>0</v>
      </c>
      <c r="BP123" s="14">
        <v>0</v>
      </c>
      <c r="BQ123" s="14">
        <v>0</v>
      </c>
      <c r="BR123" s="14">
        <v>0</v>
      </c>
      <c r="BS123" s="14">
        <v>0</v>
      </c>
      <c r="BT123" s="14">
        <v>0</v>
      </c>
      <c r="BU123" s="14">
        <v>0</v>
      </c>
      <c r="BV123" s="14">
        <v>0</v>
      </c>
      <c r="BW123" s="14">
        <v>0</v>
      </c>
      <c r="BX123" s="14">
        <v>0</v>
      </c>
      <c r="BY123" s="14">
        <v>0</v>
      </c>
      <c r="BZ123" s="14">
        <v>0</v>
      </c>
      <c r="CA123" s="14">
        <v>0</v>
      </c>
      <c r="CB123" s="14">
        <v>0</v>
      </c>
      <c r="CC123" s="14">
        <v>0</v>
      </c>
      <c r="CD123" s="14">
        <v>0</v>
      </c>
      <c r="CE123" s="14">
        <v>0</v>
      </c>
      <c r="CF123" s="14">
        <v>0</v>
      </c>
      <c r="CG123" s="14">
        <v>0</v>
      </c>
      <c r="CH123" s="14">
        <v>0</v>
      </c>
      <c r="CI123" s="14">
        <v>0</v>
      </c>
      <c r="CJ123" s="14">
        <v>0</v>
      </c>
      <c r="CK123" s="14">
        <v>0</v>
      </c>
      <c r="CL123" s="14">
        <v>0</v>
      </c>
      <c r="CM123" s="14">
        <v>0</v>
      </c>
      <c r="CN123" s="14">
        <v>0</v>
      </c>
      <c r="CO123" s="14">
        <v>0</v>
      </c>
      <c r="CP123" s="14">
        <v>0</v>
      </c>
      <c r="CQ123" s="14">
        <v>0</v>
      </c>
      <c r="CR123" s="14">
        <v>0</v>
      </c>
      <c r="CS123" s="14">
        <v>0</v>
      </c>
      <c r="CT123" s="14">
        <v>0</v>
      </c>
      <c r="CU123" s="14">
        <v>0</v>
      </c>
      <c r="CV123" s="14">
        <v>0</v>
      </c>
      <c r="CW123" s="14">
        <v>0</v>
      </c>
      <c r="CX123" s="14">
        <v>0</v>
      </c>
      <c r="CY123" s="14">
        <v>0</v>
      </c>
      <c r="CZ123" s="14">
        <v>0</v>
      </c>
      <c r="DA123" s="14">
        <v>0</v>
      </c>
      <c r="DB123" s="14">
        <v>0</v>
      </c>
      <c r="DC123" s="14">
        <v>0</v>
      </c>
      <c r="DD123" s="14">
        <v>0</v>
      </c>
      <c r="DE123" s="14">
        <v>0</v>
      </c>
      <c r="DF123" s="14">
        <v>0</v>
      </c>
      <c r="DG123" s="14">
        <v>0</v>
      </c>
      <c r="DH123" s="14">
        <v>0</v>
      </c>
      <c r="DI123" s="14">
        <v>0</v>
      </c>
      <c r="DJ123" s="14">
        <v>0</v>
      </c>
      <c r="DK123" s="14">
        <v>0</v>
      </c>
      <c r="DL123" s="14">
        <v>0</v>
      </c>
      <c r="DM123" s="14">
        <v>0</v>
      </c>
      <c r="DN123" s="14">
        <v>0</v>
      </c>
      <c r="DO123" s="14">
        <v>0</v>
      </c>
      <c r="DP123" s="14">
        <v>0</v>
      </c>
      <c r="DQ123" s="14">
        <v>0</v>
      </c>
      <c r="DR123" s="14">
        <v>0</v>
      </c>
      <c r="DS123" s="14">
        <v>0</v>
      </c>
      <c r="DT123" s="14">
        <v>0</v>
      </c>
      <c r="DU123" s="14">
        <v>0</v>
      </c>
      <c r="DV123" s="14">
        <v>0</v>
      </c>
      <c r="DW123" s="14">
        <v>0</v>
      </c>
      <c r="DX123" s="14">
        <v>0</v>
      </c>
      <c r="DY123" s="14">
        <v>0</v>
      </c>
      <c r="DZ123" s="14">
        <v>0</v>
      </c>
      <c r="EA123" s="14">
        <v>0</v>
      </c>
      <c r="EB123" s="14">
        <v>0</v>
      </c>
      <c r="EC123" s="14">
        <v>0</v>
      </c>
      <c r="ED123" s="14">
        <v>0</v>
      </c>
      <c r="EE123" s="14">
        <v>0</v>
      </c>
      <c r="EF123" s="14">
        <v>0</v>
      </c>
      <c r="EG123" s="14">
        <v>0</v>
      </c>
      <c r="EH123" s="14">
        <v>0</v>
      </c>
      <c r="EI123" s="14">
        <v>0</v>
      </c>
      <c r="EJ123" s="14">
        <v>0</v>
      </c>
      <c r="EK123" s="14">
        <v>0</v>
      </c>
      <c r="EL123" s="14">
        <v>0</v>
      </c>
      <c r="EM123" s="14">
        <v>0</v>
      </c>
      <c r="EN123" s="14">
        <v>0</v>
      </c>
    </row>
  </sheetData>
  <autoFilter ref="A1:AL123" xr:uid="{7FE729BD-6FB1-0D4C-AECC-4B6AD4E99D76}">
    <filterColumn colId="0">
      <colorFilter dxfId="152"/>
    </filterColumn>
  </autoFilter>
  <conditionalFormatting sqref="A6 A9 A1:E5 A7:E8 A10:E30 C32:E32 B31:E31 A31:A32 A33:E49 C50:E50 B51:E51 A50:A51 A52:E100 C102:E102 B101:E101 A101:A102 A103:E109 A124:E1048576">
    <cfRule type="containsText" dxfId="151" priority="15" operator="containsText" text="review">
      <formula>NOT(ISERROR(SEARCH("review",A1)))</formula>
    </cfRule>
  </conditionalFormatting>
  <conditionalFormatting sqref="A110">
    <cfRule type="duplicateValues" dxfId="150" priority="14" stopIfTrue="1"/>
  </conditionalFormatting>
  <conditionalFormatting sqref="A111">
    <cfRule type="duplicateValues" dxfId="149" priority="13" stopIfTrue="1"/>
  </conditionalFormatting>
  <conditionalFormatting sqref="A112">
    <cfRule type="duplicateValues" dxfId="148" priority="12" stopIfTrue="1"/>
  </conditionalFormatting>
  <conditionalFormatting sqref="A113">
    <cfRule type="duplicateValues" dxfId="147" priority="11" stopIfTrue="1"/>
  </conditionalFormatting>
  <conditionalFormatting sqref="A114">
    <cfRule type="duplicateValues" dxfId="146" priority="10" stopIfTrue="1"/>
  </conditionalFormatting>
  <conditionalFormatting sqref="A115">
    <cfRule type="duplicateValues" dxfId="145" priority="9" stopIfTrue="1"/>
  </conditionalFormatting>
  <conditionalFormatting sqref="A116">
    <cfRule type="duplicateValues" dxfId="144" priority="8" stopIfTrue="1"/>
  </conditionalFormatting>
  <conditionalFormatting sqref="A117">
    <cfRule type="duplicateValues" dxfId="143" priority="7" stopIfTrue="1"/>
  </conditionalFormatting>
  <conditionalFormatting sqref="A118">
    <cfRule type="duplicateValues" dxfId="142" priority="6" stopIfTrue="1"/>
  </conditionalFormatting>
  <conditionalFormatting sqref="A119">
    <cfRule type="duplicateValues" dxfId="141" priority="5" stopIfTrue="1"/>
  </conditionalFormatting>
  <conditionalFormatting sqref="A120">
    <cfRule type="duplicateValues" dxfId="140" priority="4" stopIfTrue="1"/>
  </conditionalFormatting>
  <conditionalFormatting sqref="A121">
    <cfRule type="duplicateValues" dxfId="139" priority="3" stopIfTrue="1"/>
  </conditionalFormatting>
  <conditionalFormatting sqref="A122">
    <cfRule type="duplicateValues" dxfId="138" priority="2" stopIfTrue="1"/>
  </conditionalFormatting>
  <conditionalFormatting sqref="A123">
    <cfRule type="duplicateValues" dxfId="137" priority="1" stopIfTrue="1"/>
  </conditionalFormatting>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CA520-3567-F640-920A-4EACDA4FBE86}">
  <sheetPr filterMode="1"/>
  <dimension ref="A1:FA67"/>
  <sheetViews>
    <sheetView zoomScale="130" zoomScaleNormal="130" workbookViewId="0">
      <pane ySplit="1" topLeftCell="A59" activePane="bottomLeft" state="frozen"/>
      <selection pane="bottomLeft" activeCell="A7" sqref="A7"/>
    </sheetView>
  </sheetViews>
  <sheetFormatPr baseColWidth="10" defaultRowHeight="16" x14ac:dyDescent="0.2"/>
  <cols>
    <col min="1" max="1" width="43.83203125" style="2" customWidth="1"/>
    <col min="2" max="2" width="19.5" style="2" customWidth="1"/>
    <col min="3" max="4" width="14.1640625" style="2" customWidth="1"/>
    <col min="5" max="5" width="19.6640625" style="2" customWidth="1"/>
    <col min="6" max="6" width="14.1640625" style="2" customWidth="1"/>
    <col min="7" max="7" width="21.6640625" style="2" customWidth="1"/>
    <col min="8" max="8" width="34.5" style="2" customWidth="1"/>
    <col min="9" max="9" width="15" style="2" customWidth="1"/>
    <col min="10" max="11" width="14.1640625" style="2" customWidth="1"/>
    <col min="12" max="12" width="17.6640625" style="2" customWidth="1"/>
    <col min="13" max="13" width="47.83203125" style="2" customWidth="1"/>
    <col min="14" max="14" width="120.6640625" style="7" customWidth="1"/>
    <col min="15" max="15" width="19.33203125" style="2" bestFit="1" customWidth="1"/>
    <col min="16" max="17" width="19.33203125" style="2" customWidth="1"/>
    <col min="18" max="18" width="43.1640625" style="2" customWidth="1"/>
    <col min="19" max="19" width="39.5" style="2" customWidth="1"/>
    <col min="20" max="20" width="11" style="2" customWidth="1"/>
    <col min="21" max="21" width="13.83203125" customWidth="1"/>
  </cols>
  <sheetData>
    <row r="1" spans="1:49" s="4" customFormat="1" ht="44" x14ac:dyDescent="0.25">
      <c r="A1" s="3" t="s">
        <v>0</v>
      </c>
      <c r="B1" s="3" t="s">
        <v>684</v>
      </c>
      <c r="C1" s="3" t="s">
        <v>690</v>
      </c>
      <c r="D1" s="3" t="s">
        <v>685</v>
      </c>
      <c r="E1" s="3" t="s">
        <v>686</v>
      </c>
      <c r="F1" s="3" t="s">
        <v>691</v>
      </c>
      <c r="G1" s="3" t="s">
        <v>687</v>
      </c>
      <c r="H1" s="3" t="s">
        <v>688</v>
      </c>
      <c r="I1" s="3" t="s">
        <v>763</v>
      </c>
      <c r="J1" s="3" t="s">
        <v>776</v>
      </c>
      <c r="K1" s="3" t="s">
        <v>692</v>
      </c>
      <c r="L1" s="3" t="s">
        <v>689</v>
      </c>
      <c r="M1" s="3" t="s">
        <v>753</v>
      </c>
      <c r="N1" s="8" t="s">
        <v>456</v>
      </c>
      <c r="O1" s="3" t="s">
        <v>460</v>
      </c>
      <c r="P1" s="3" t="s">
        <v>461</v>
      </c>
      <c r="Q1" s="3" t="s">
        <v>462</v>
      </c>
      <c r="R1" s="3" t="s">
        <v>1</v>
      </c>
      <c r="S1" s="3" t="s">
        <v>2</v>
      </c>
      <c r="T1" s="3" t="s">
        <v>934</v>
      </c>
      <c r="U1" s="4" t="s">
        <v>3</v>
      </c>
      <c r="V1" s="4" t="s">
        <v>4</v>
      </c>
      <c r="W1" s="4" t="s">
        <v>5</v>
      </c>
      <c r="X1" s="4" t="s">
        <v>6</v>
      </c>
      <c r="Y1" s="4" t="s">
        <v>7</v>
      </c>
      <c r="Z1" s="4" t="s">
        <v>8</v>
      </c>
      <c r="AA1" s="4" t="s">
        <v>9</v>
      </c>
      <c r="AB1" s="4" t="s">
        <v>10</v>
      </c>
      <c r="AC1" s="4" t="s">
        <v>11</v>
      </c>
      <c r="AD1" s="4" t="s">
        <v>12</v>
      </c>
      <c r="AE1" s="4" t="s">
        <v>13</v>
      </c>
      <c r="AF1" s="4" t="s">
        <v>14</v>
      </c>
      <c r="AG1" s="4" t="s">
        <v>15</v>
      </c>
      <c r="AH1" s="4">
        <v>2008</v>
      </c>
      <c r="AI1" s="4">
        <v>2009</v>
      </c>
      <c r="AJ1" s="4">
        <v>2010</v>
      </c>
      <c r="AK1" s="4">
        <v>2011</v>
      </c>
      <c r="AL1" s="4">
        <v>2012</v>
      </c>
      <c r="AM1" s="4">
        <v>2013</v>
      </c>
      <c r="AN1" s="4">
        <v>2014</v>
      </c>
      <c r="AO1" s="4">
        <v>2015</v>
      </c>
      <c r="AP1" s="4">
        <v>2016</v>
      </c>
      <c r="AQ1" s="4">
        <v>2017</v>
      </c>
      <c r="AR1" s="4">
        <v>2018</v>
      </c>
      <c r="AS1" s="4">
        <v>2019</v>
      </c>
      <c r="AT1" s="4">
        <v>2020</v>
      </c>
      <c r="AU1" s="4">
        <v>2021</v>
      </c>
    </row>
    <row r="2" spans="1:49" s="40" customFormat="1" ht="68" x14ac:dyDescent="0.2">
      <c r="A2" s="5" t="s">
        <v>16</v>
      </c>
      <c r="B2" s="5"/>
      <c r="C2" s="5"/>
      <c r="D2" s="5"/>
      <c r="E2" s="5"/>
      <c r="F2" s="5"/>
      <c r="G2" s="5"/>
      <c r="H2" s="5"/>
      <c r="I2" s="5"/>
      <c r="J2" s="5"/>
      <c r="K2" s="5"/>
      <c r="L2" s="5"/>
      <c r="M2" s="5"/>
      <c r="N2" s="9" t="s">
        <v>926</v>
      </c>
      <c r="O2" s="5" t="s">
        <v>457</v>
      </c>
      <c r="P2" s="5" t="s">
        <v>463</v>
      </c>
      <c r="Q2" s="5" t="s">
        <v>463</v>
      </c>
      <c r="R2" s="5" t="s">
        <v>17</v>
      </c>
      <c r="S2" s="5" t="s">
        <v>18</v>
      </c>
      <c r="T2" s="5">
        <f t="shared" ref="T2:T33" si="0">COUNTIF($S$2:$S$66,S2)</f>
        <v>2</v>
      </c>
      <c r="U2" s="40">
        <v>2010</v>
      </c>
      <c r="V2" s="40">
        <v>41</v>
      </c>
      <c r="W2" s="40">
        <v>5</v>
      </c>
      <c r="Z2" s="40">
        <v>444</v>
      </c>
      <c r="AA2" s="40">
        <v>452</v>
      </c>
      <c r="AC2" s="40" t="s">
        <v>19</v>
      </c>
      <c r="AF2" s="40">
        <v>49</v>
      </c>
      <c r="AG2" s="40">
        <v>4</v>
      </c>
      <c r="AH2" s="40">
        <v>8</v>
      </c>
      <c r="AI2" s="40">
        <v>0</v>
      </c>
      <c r="AJ2" s="40">
        <v>0</v>
      </c>
      <c r="AK2" s="40">
        <v>4</v>
      </c>
      <c r="AL2" s="40">
        <v>5</v>
      </c>
      <c r="AM2" s="40">
        <v>5</v>
      </c>
      <c r="AN2" s="40">
        <v>4</v>
      </c>
      <c r="AO2" s="40">
        <v>5</v>
      </c>
      <c r="AP2" s="40">
        <v>3</v>
      </c>
      <c r="AQ2" s="40">
        <v>5</v>
      </c>
      <c r="AR2" s="40">
        <v>4</v>
      </c>
      <c r="AS2" s="40">
        <v>5</v>
      </c>
      <c r="AT2" s="40">
        <v>4</v>
      </c>
      <c r="AU2" s="40">
        <v>3</v>
      </c>
      <c r="AV2" s="40">
        <v>2</v>
      </c>
    </row>
    <row r="3" spans="1:49" s="40" customFormat="1" ht="306" x14ac:dyDescent="0.2">
      <c r="A3" s="5" t="s">
        <v>20</v>
      </c>
      <c r="B3" s="5" t="s">
        <v>693</v>
      </c>
      <c r="C3" s="5" t="s">
        <v>459</v>
      </c>
      <c r="D3" s="5" t="s">
        <v>694</v>
      </c>
      <c r="E3" s="5" t="s">
        <v>695</v>
      </c>
      <c r="F3" s="5" t="s">
        <v>458</v>
      </c>
      <c r="G3" s="5" t="s">
        <v>696</v>
      </c>
      <c r="H3" s="5" t="s">
        <v>697</v>
      </c>
      <c r="I3" s="5"/>
      <c r="J3" s="5"/>
      <c r="K3" s="5"/>
      <c r="L3" s="5" t="s">
        <v>698</v>
      </c>
      <c r="M3" s="5"/>
      <c r="N3" s="9" t="s">
        <v>927</v>
      </c>
      <c r="O3" s="5" t="s">
        <v>458</v>
      </c>
      <c r="P3" s="5" t="s">
        <v>457</v>
      </c>
      <c r="Q3" s="5" t="s">
        <v>463</v>
      </c>
      <c r="R3" s="5" t="s">
        <v>21</v>
      </c>
      <c r="S3" s="5" t="s">
        <v>22</v>
      </c>
      <c r="T3" s="5">
        <f t="shared" si="0"/>
        <v>2</v>
      </c>
      <c r="U3" s="40">
        <v>2014</v>
      </c>
      <c r="V3" s="40">
        <v>22</v>
      </c>
      <c r="AB3" s="40">
        <v>22</v>
      </c>
      <c r="AC3" s="40" t="s">
        <v>23</v>
      </c>
      <c r="AF3" s="40">
        <v>32</v>
      </c>
      <c r="AG3" s="40">
        <v>4</v>
      </c>
      <c r="AH3" s="40">
        <v>0</v>
      </c>
      <c r="AI3" s="40">
        <v>0</v>
      </c>
      <c r="AJ3" s="40">
        <v>0</v>
      </c>
      <c r="AK3" s="40">
        <v>0</v>
      </c>
      <c r="AL3" s="40">
        <v>0</v>
      </c>
      <c r="AM3" s="40">
        <v>0</v>
      </c>
      <c r="AN3" s="40">
        <v>1</v>
      </c>
      <c r="AO3" s="40">
        <v>1</v>
      </c>
      <c r="AP3" s="40">
        <v>4</v>
      </c>
      <c r="AQ3" s="40">
        <v>13</v>
      </c>
      <c r="AR3" s="40">
        <v>7</v>
      </c>
      <c r="AS3" s="40">
        <v>3</v>
      </c>
      <c r="AT3" s="40">
        <v>2</v>
      </c>
      <c r="AU3" s="40">
        <v>1</v>
      </c>
    </row>
    <row r="4" spans="1:49" s="40" customFormat="1" ht="408" customHeight="1" x14ac:dyDescent="0.2">
      <c r="A4" s="5" t="s">
        <v>24</v>
      </c>
      <c r="B4" s="5"/>
      <c r="C4" s="5"/>
      <c r="D4" s="5"/>
      <c r="E4" s="5"/>
      <c r="F4" s="5"/>
      <c r="G4" s="5"/>
      <c r="H4" s="5"/>
      <c r="I4" s="5"/>
      <c r="J4" s="5"/>
      <c r="K4" s="5"/>
      <c r="L4" s="5"/>
      <c r="M4" s="5"/>
      <c r="N4" s="9" t="s">
        <v>928</v>
      </c>
      <c r="O4" s="5" t="s">
        <v>458</v>
      </c>
      <c r="P4" s="5" t="s">
        <v>463</v>
      </c>
      <c r="Q4" s="5" t="s">
        <v>463</v>
      </c>
      <c r="R4" s="5" t="s">
        <v>25</v>
      </c>
      <c r="S4" s="5" t="s">
        <v>26</v>
      </c>
      <c r="T4" s="5">
        <f t="shared" si="0"/>
        <v>3</v>
      </c>
      <c r="U4" s="40">
        <v>2013</v>
      </c>
      <c r="V4" s="40">
        <v>8</v>
      </c>
      <c r="W4" s="40">
        <v>4</v>
      </c>
      <c r="Z4" s="40">
        <v>253</v>
      </c>
      <c r="AA4" s="40">
        <v>261</v>
      </c>
      <c r="AC4" s="40" t="s">
        <v>27</v>
      </c>
      <c r="AF4" s="40">
        <v>16</v>
      </c>
      <c r="AG4" s="40">
        <v>1</v>
      </c>
      <c r="AH4" s="40">
        <v>78</v>
      </c>
      <c r="AI4" s="40">
        <v>0</v>
      </c>
      <c r="AJ4" s="40">
        <v>0</v>
      </c>
      <c r="AK4" s="40">
        <v>0</v>
      </c>
      <c r="AL4" s="40">
        <v>0</v>
      </c>
      <c r="AM4" s="40">
        <v>0</v>
      </c>
      <c r="AN4" s="40">
        <v>1</v>
      </c>
      <c r="AO4" s="40">
        <v>1</v>
      </c>
      <c r="AP4" s="40">
        <v>3</v>
      </c>
      <c r="AQ4" s="40">
        <v>3</v>
      </c>
      <c r="AR4" s="40">
        <v>0</v>
      </c>
      <c r="AS4" s="40">
        <v>2</v>
      </c>
      <c r="AT4" s="40">
        <v>5</v>
      </c>
      <c r="AU4" s="40">
        <v>0</v>
      </c>
      <c r="AV4" s="40">
        <v>1</v>
      </c>
    </row>
    <row r="5" spans="1:49" s="40" customFormat="1" ht="388" x14ac:dyDescent="0.2">
      <c r="A5" s="5" t="s">
        <v>28</v>
      </c>
      <c r="B5" s="5" t="s">
        <v>699</v>
      </c>
      <c r="C5" s="5" t="s">
        <v>458</v>
      </c>
      <c r="D5" s="5" t="s">
        <v>700</v>
      </c>
      <c r="E5" s="5" t="s">
        <v>701</v>
      </c>
      <c r="F5" s="5" t="s">
        <v>458</v>
      </c>
      <c r="G5" s="5" t="s">
        <v>702</v>
      </c>
      <c r="H5" s="5" t="s">
        <v>703</v>
      </c>
      <c r="I5" s="5"/>
      <c r="J5" s="5"/>
      <c r="K5" s="5"/>
      <c r="L5" s="5" t="s">
        <v>704</v>
      </c>
      <c r="M5" s="41" t="s">
        <v>705</v>
      </c>
      <c r="N5" s="9" t="s">
        <v>929</v>
      </c>
      <c r="O5" s="5" t="s">
        <v>458</v>
      </c>
      <c r="P5" s="5" t="s">
        <v>457</v>
      </c>
      <c r="Q5" s="5" t="s">
        <v>463</v>
      </c>
      <c r="R5" s="5" t="s">
        <v>29</v>
      </c>
      <c r="S5" s="5" t="s">
        <v>30</v>
      </c>
      <c r="T5" s="5">
        <f t="shared" si="0"/>
        <v>2</v>
      </c>
      <c r="U5" s="40">
        <v>2017</v>
      </c>
      <c r="V5" s="40">
        <v>39</v>
      </c>
      <c r="W5" s="40">
        <v>6</v>
      </c>
      <c r="Y5" s="40" t="s">
        <v>31</v>
      </c>
      <c r="Z5" s="40">
        <v>631</v>
      </c>
      <c r="AA5" s="40">
        <v>638</v>
      </c>
      <c r="AC5" s="40" t="s">
        <v>32</v>
      </c>
      <c r="AF5" s="40">
        <v>10</v>
      </c>
      <c r="AG5" s="40">
        <v>2</v>
      </c>
      <c r="AH5" s="40">
        <v>0</v>
      </c>
      <c r="AI5" s="40">
        <v>0</v>
      </c>
      <c r="AJ5" s="40">
        <v>0</v>
      </c>
      <c r="AK5" s="40">
        <v>0</v>
      </c>
      <c r="AL5" s="40">
        <v>0</v>
      </c>
      <c r="AM5" s="40">
        <v>0</v>
      </c>
      <c r="AN5" s="40">
        <v>0</v>
      </c>
      <c r="AO5" s="40">
        <v>0</v>
      </c>
      <c r="AP5" s="40">
        <v>0</v>
      </c>
      <c r="AQ5" s="40">
        <v>0</v>
      </c>
      <c r="AR5" s="40">
        <v>6</v>
      </c>
      <c r="AS5" s="40">
        <v>2</v>
      </c>
      <c r="AT5" s="40">
        <v>2</v>
      </c>
      <c r="AU5" s="40">
        <v>0</v>
      </c>
    </row>
    <row r="6" spans="1:49" s="40" customFormat="1" ht="187" x14ac:dyDescent="0.2">
      <c r="A6" s="5" t="s">
        <v>33</v>
      </c>
      <c r="B6" s="5" t="s">
        <v>706</v>
      </c>
      <c r="C6" s="5" t="s">
        <v>459</v>
      </c>
      <c r="D6" s="5" t="s">
        <v>694</v>
      </c>
      <c r="E6" s="5" t="s">
        <v>707</v>
      </c>
      <c r="F6" s="5" t="s">
        <v>458</v>
      </c>
      <c r="G6" s="5" t="s">
        <v>708</v>
      </c>
      <c r="H6" s="5"/>
      <c r="I6" s="5"/>
      <c r="J6" s="5"/>
      <c r="K6" s="5"/>
      <c r="L6" s="5" t="s">
        <v>709</v>
      </c>
      <c r="M6" s="5"/>
      <c r="N6" s="9" t="s">
        <v>930</v>
      </c>
      <c r="O6" s="5" t="s">
        <v>458</v>
      </c>
      <c r="P6" s="5" t="s">
        <v>458</v>
      </c>
      <c r="Q6" s="5" t="s">
        <v>459</v>
      </c>
      <c r="R6" s="5" t="s">
        <v>21</v>
      </c>
      <c r="S6" s="5" t="s">
        <v>34</v>
      </c>
      <c r="T6" s="5">
        <f t="shared" si="0"/>
        <v>1</v>
      </c>
      <c r="U6" s="40">
        <v>2016</v>
      </c>
      <c r="V6" s="40">
        <v>30</v>
      </c>
      <c r="W6" s="40">
        <v>2</v>
      </c>
      <c r="Z6" s="40">
        <v>234</v>
      </c>
      <c r="AA6" s="40">
        <v>240</v>
      </c>
      <c r="AC6" s="40" t="s">
        <v>35</v>
      </c>
      <c r="AF6" s="40">
        <v>6</v>
      </c>
      <c r="AG6" s="40">
        <v>1</v>
      </c>
      <c r="AH6" s="40">
        <v>0</v>
      </c>
      <c r="AI6" s="40">
        <v>0</v>
      </c>
      <c r="AJ6" s="40">
        <v>0</v>
      </c>
      <c r="AK6" s="40">
        <v>0</v>
      </c>
      <c r="AL6" s="40">
        <v>0</v>
      </c>
      <c r="AM6" s="40">
        <v>0</v>
      </c>
      <c r="AN6" s="40">
        <v>0</v>
      </c>
      <c r="AO6" s="40">
        <v>0</v>
      </c>
      <c r="AP6" s="40">
        <v>0</v>
      </c>
      <c r="AQ6" s="40">
        <v>1</v>
      </c>
      <c r="AR6" s="40">
        <v>3</v>
      </c>
      <c r="AS6" s="40">
        <v>1</v>
      </c>
      <c r="AT6" s="40">
        <v>1</v>
      </c>
      <c r="AU6" s="40">
        <v>0</v>
      </c>
    </row>
    <row r="7" spans="1:49" s="40" customFormat="1" ht="102" x14ac:dyDescent="0.2">
      <c r="A7" s="5" t="s">
        <v>36</v>
      </c>
      <c r="B7" s="5"/>
      <c r="C7" s="5"/>
      <c r="D7" s="5"/>
      <c r="E7" s="5"/>
      <c r="F7" s="5"/>
      <c r="G7" s="5"/>
      <c r="H7" s="5"/>
      <c r="I7" s="5"/>
      <c r="J7" s="5"/>
      <c r="K7" s="5"/>
      <c r="L7" s="5"/>
      <c r="M7" s="5"/>
      <c r="N7" s="9" t="s">
        <v>931</v>
      </c>
      <c r="O7" s="5" t="s">
        <v>458</v>
      </c>
      <c r="P7" s="5" t="s">
        <v>458</v>
      </c>
      <c r="Q7" s="5" t="s">
        <v>458</v>
      </c>
      <c r="R7" s="5" t="s">
        <v>37</v>
      </c>
      <c r="S7" s="5" t="s">
        <v>38</v>
      </c>
      <c r="T7" s="5">
        <f t="shared" si="0"/>
        <v>1</v>
      </c>
      <c r="U7" s="40">
        <v>2018</v>
      </c>
      <c r="V7" s="40">
        <v>40</v>
      </c>
      <c r="Z7" s="40">
        <v>37</v>
      </c>
      <c r="AA7" s="40">
        <v>45</v>
      </c>
      <c r="AC7" s="40" t="s">
        <v>39</v>
      </c>
      <c r="AF7" s="40">
        <v>5</v>
      </c>
      <c r="AG7" s="40">
        <v>1</v>
      </c>
      <c r="AH7" s="40">
        <v>25</v>
      </c>
      <c r="AI7" s="40">
        <v>0</v>
      </c>
      <c r="AJ7" s="40">
        <v>0</v>
      </c>
      <c r="AK7" s="40">
        <v>0</v>
      </c>
      <c r="AL7" s="40">
        <v>0</v>
      </c>
      <c r="AM7" s="40">
        <v>0</v>
      </c>
      <c r="AN7" s="40">
        <v>0</v>
      </c>
      <c r="AO7" s="40">
        <v>0</v>
      </c>
      <c r="AP7" s="40">
        <v>0</v>
      </c>
      <c r="AQ7" s="40">
        <v>0</v>
      </c>
      <c r="AR7" s="40">
        <v>0</v>
      </c>
      <c r="AS7" s="40">
        <v>0</v>
      </c>
      <c r="AT7" s="40">
        <v>4</v>
      </c>
      <c r="AU7" s="40">
        <v>1</v>
      </c>
      <c r="AV7" s="40">
        <v>0</v>
      </c>
    </row>
    <row r="8" spans="1:49" s="40" customFormat="1" ht="340" x14ac:dyDescent="0.2">
      <c r="A8" s="5" t="s">
        <v>40</v>
      </c>
      <c r="B8" s="5"/>
      <c r="C8" s="5"/>
      <c r="D8" s="5"/>
      <c r="E8" s="5"/>
      <c r="F8" s="5"/>
      <c r="G8" s="5"/>
      <c r="H8" s="5"/>
      <c r="I8" s="5"/>
      <c r="J8" s="5"/>
      <c r="K8" s="5"/>
      <c r="L8" s="5"/>
      <c r="M8" s="5"/>
      <c r="N8" s="9" t="s">
        <v>932</v>
      </c>
      <c r="O8" s="5" t="s">
        <v>458</v>
      </c>
      <c r="P8" s="5" t="s">
        <v>458</v>
      </c>
      <c r="Q8" s="5" t="s">
        <v>458</v>
      </c>
      <c r="R8" s="5" t="s">
        <v>41</v>
      </c>
      <c r="S8" s="5" t="s">
        <v>30</v>
      </c>
      <c r="T8" s="5">
        <f t="shared" si="0"/>
        <v>2</v>
      </c>
      <c r="U8" s="40">
        <v>2020</v>
      </c>
      <c r="V8" s="40">
        <v>42</v>
      </c>
      <c r="W8" s="40">
        <v>12</v>
      </c>
      <c r="Z8" s="40">
        <v>1385</v>
      </c>
      <c r="AA8" s="40">
        <v>1393</v>
      </c>
      <c r="AC8" s="40" t="s">
        <v>42</v>
      </c>
      <c r="AF8" s="40">
        <v>1</v>
      </c>
      <c r="AG8" s="40">
        <v>0</v>
      </c>
      <c r="AH8" s="40">
        <v>5</v>
      </c>
      <c r="AI8" s="40">
        <v>0</v>
      </c>
      <c r="AJ8" s="40">
        <v>0</v>
      </c>
      <c r="AK8" s="40">
        <v>0</v>
      </c>
      <c r="AL8" s="40">
        <v>0</v>
      </c>
      <c r="AM8" s="40">
        <v>0</v>
      </c>
      <c r="AN8" s="40">
        <v>0</v>
      </c>
      <c r="AO8" s="40">
        <v>0</v>
      </c>
      <c r="AP8" s="40">
        <v>0</v>
      </c>
      <c r="AQ8" s="40">
        <v>0</v>
      </c>
      <c r="AR8" s="40">
        <v>0</v>
      </c>
      <c r="AS8" s="40">
        <v>0</v>
      </c>
      <c r="AT8" s="40">
        <v>0</v>
      </c>
      <c r="AU8" s="40">
        <v>1</v>
      </c>
      <c r="AV8" s="40">
        <v>0</v>
      </c>
    </row>
    <row r="9" spans="1:49" s="40" customFormat="1" ht="255" x14ac:dyDescent="0.2">
      <c r="A9" s="5" t="s">
        <v>43</v>
      </c>
      <c r="B9" s="5"/>
      <c r="C9" s="5"/>
      <c r="D9" s="5"/>
      <c r="E9" s="5"/>
      <c r="F9" s="5"/>
      <c r="G9" s="5"/>
      <c r="H9" s="5"/>
      <c r="I9" s="5"/>
      <c r="J9" s="5"/>
      <c r="K9" s="5"/>
      <c r="L9" s="5"/>
      <c r="M9" s="5"/>
      <c r="N9" s="9" t="s">
        <v>447</v>
      </c>
      <c r="O9" s="5" t="s">
        <v>458</v>
      </c>
      <c r="P9" s="5" t="s">
        <v>458</v>
      </c>
      <c r="Q9" s="5" t="s">
        <v>458</v>
      </c>
      <c r="R9" s="5" t="s">
        <v>44</v>
      </c>
      <c r="S9" s="5" t="s">
        <v>45</v>
      </c>
      <c r="T9" s="5">
        <f t="shared" si="0"/>
        <v>5</v>
      </c>
      <c r="U9" s="40">
        <v>2021</v>
      </c>
      <c r="V9" s="40">
        <v>78</v>
      </c>
      <c r="W9" s="40">
        <v>1</v>
      </c>
      <c r="Z9" s="40">
        <v>245</v>
      </c>
      <c r="AA9" s="40">
        <v>264</v>
      </c>
      <c r="AC9" s="40" t="s">
        <v>46</v>
      </c>
      <c r="AD9" s="40" t="s">
        <v>47</v>
      </c>
      <c r="AE9" s="40">
        <v>2019</v>
      </c>
      <c r="AF9" s="40">
        <v>0</v>
      </c>
      <c r="AG9" s="40">
        <v>0</v>
      </c>
      <c r="AH9" s="40">
        <v>0</v>
      </c>
      <c r="AI9" s="40">
        <v>0</v>
      </c>
      <c r="AJ9" s="40">
        <v>0</v>
      </c>
      <c r="AK9" s="40">
        <v>0</v>
      </c>
      <c r="AL9" s="40">
        <v>0</v>
      </c>
      <c r="AM9" s="40">
        <v>0</v>
      </c>
      <c r="AN9" s="40">
        <v>0</v>
      </c>
      <c r="AO9" s="40">
        <v>0</v>
      </c>
      <c r="AP9" s="40">
        <v>0</v>
      </c>
      <c r="AQ9" s="40">
        <v>0</v>
      </c>
      <c r="AR9" s="40">
        <v>0</v>
      </c>
      <c r="AS9" s="40">
        <v>0</v>
      </c>
      <c r="AT9" s="40">
        <v>0</v>
      </c>
      <c r="AU9" s="40">
        <v>0</v>
      </c>
    </row>
    <row r="10" spans="1:49" ht="356" hidden="1" x14ac:dyDescent="0.2">
      <c r="A10" s="2" t="s">
        <v>48</v>
      </c>
      <c r="B10" s="2" t="s">
        <v>754</v>
      </c>
      <c r="C10" s="2" t="s">
        <v>459</v>
      </c>
      <c r="D10" s="2" t="s">
        <v>700</v>
      </c>
      <c r="E10" s="2" t="s">
        <v>756</v>
      </c>
      <c r="F10" s="2" t="s">
        <v>459</v>
      </c>
      <c r="G10" s="2" t="s">
        <v>755</v>
      </c>
      <c r="H10" s="2" t="s">
        <v>757</v>
      </c>
      <c r="I10" s="2" t="s">
        <v>459</v>
      </c>
      <c r="J10" s="2" t="s">
        <v>459</v>
      </c>
      <c r="K10" s="2" t="s">
        <v>758</v>
      </c>
      <c r="L10" s="2" t="s">
        <v>758</v>
      </c>
      <c r="M10" s="2" t="s">
        <v>759</v>
      </c>
      <c r="N10" s="7" t="s">
        <v>449</v>
      </c>
      <c r="O10" s="2" t="s">
        <v>458</v>
      </c>
      <c r="P10" s="2" t="s">
        <v>459</v>
      </c>
      <c r="Q10" s="2" t="s">
        <v>459</v>
      </c>
      <c r="R10" s="2" t="s">
        <v>49</v>
      </c>
      <c r="S10" s="2" t="s">
        <v>448</v>
      </c>
      <c r="T10" s="5">
        <f t="shared" si="0"/>
        <v>1</v>
      </c>
      <c r="U10">
        <v>2020</v>
      </c>
      <c r="V10">
        <v>22</v>
      </c>
      <c r="W10">
        <v>12</v>
      </c>
      <c r="AF10">
        <v>0</v>
      </c>
      <c r="AG10">
        <v>0</v>
      </c>
      <c r="AH10">
        <v>0</v>
      </c>
      <c r="AI10">
        <v>0</v>
      </c>
      <c r="AJ10">
        <v>0</v>
      </c>
      <c r="AK10">
        <v>0</v>
      </c>
      <c r="AL10">
        <v>0</v>
      </c>
      <c r="AM10">
        <v>0</v>
      </c>
      <c r="AN10">
        <v>0</v>
      </c>
      <c r="AO10">
        <v>0</v>
      </c>
      <c r="AP10">
        <v>0</v>
      </c>
      <c r="AQ10">
        <v>0</v>
      </c>
      <c r="AR10">
        <v>0</v>
      </c>
      <c r="AS10">
        <v>0</v>
      </c>
      <c r="AT10">
        <v>0</v>
      </c>
      <c r="AU10">
        <v>0</v>
      </c>
    </row>
    <row r="11" spans="1:49" s="12" customFormat="1" ht="409.5" hidden="1" x14ac:dyDescent="0.2">
      <c r="A11" s="10" t="s">
        <v>51</v>
      </c>
      <c r="B11" s="10" t="s">
        <v>754</v>
      </c>
      <c r="C11" s="10" t="s">
        <v>459</v>
      </c>
      <c r="D11" s="10" t="s">
        <v>700</v>
      </c>
      <c r="E11" s="10" t="s">
        <v>760</v>
      </c>
      <c r="F11" s="10" t="s">
        <v>458</v>
      </c>
      <c r="G11" s="10" t="s">
        <v>761</v>
      </c>
      <c r="H11" s="10" t="s">
        <v>765</v>
      </c>
      <c r="I11" s="10" t="s">
        <v>459</v>
      </c>
      <c r="J11" s="10" t="s">
        <v>458</v>
      </c>
      <c r="K11" s="10" t="s">
        <v>758</v>
      </c>
      <c r="L11" s="10" t="s">
        <v>762</v>
      </c>
      <c r="M11" s="10" t="s">
        <v>764</v>
      </c>
      <c r="N11" s="11" t="s">
        <v>453</v>
      </c>
      <c r="O11" s="10" t="s">
        <v>458</v>
      </c>
      <c r="P11" s="10" t="s">
        <v>458</v>
      </c>
      <c r="Q11" s="10" t="s">
        <v>458</v>
      </c>
      <c r="R11" s="10" t="s">
        <v>52</v>
      </c>
      <c r="S11" s="10" t="s">
        <v>53</v>
      </c>
      <c r="T11" s="5">
        <f t="shared" si="0"/>
        <v>1</v>
      </c>
      <c r="U11" s="12">
        <v>2008</v>
      </c>
      <c r="V11" s="12">
        <v>64</v>
      </c>
      <c r="W11" s="12">
        <v>2</v>
      </c>
      <c r="Z11" s="12">
        <v>255</v>
      </c>
      <c r="AA11" s="12">
        <v>263</v>
      </c>
      <c r="AC11" s="12" t="s">
        <v>54</v>
      </c>
      <c r="AD11" s="12" t="s">
        <v>55</v>
      </c>
      <c r="AE11" s="12" t="s">
        <v>56</v>
      </c>
      <c r="AF11" s="12">
        <v>2007</v>
      </c>
      <c r="AG11" s="12">
        <v>81</v>
      </c>
      <c r="AH11" s="12">
        <v>5</v>
      </c>
      <c r="AI11" s="12">
        <v>79</v>
      </c>
      <c r="AJ11" s="12">
        <v>3</v>
      </c>
      <c r="AK11" s="12">
        <v>3</v>
      </c>
      <c r="AL11" s="12">
        <v>16</v>
      </c>
      <c r="AM11" s="12">
        <v>9</v>
      </c>
      <c r="AN11" s="12">
        <v>7</v>
      </c>
      <c r="AO11" s="12">
        <v>5</v>
      </c>
      <c r="AP11" s="12">
        <v>5</v>
      </c>
      <c r="AQ11" s="12">
        <v>5</v>
      </c>
      <c r="AR11" s="12">
        <v>5</v>
      </c>
      <c r="AS11" s="12">
        <v>5</v>
      </c>
      <c r="AT11" s="12">
        <v>4</v>
      </c>
      <c r="AU11" s="12">
        <v>7</v>
      </c>
      <c r="AV11" s="12">
        <v>6</v>
      </c>
      <c r="AW11" s="12">
        <v>1</v>
      </c>
    </row>
    <row r="12" spans="1:49" s="40" customFormat="1" ht="238" x14ac:dyDescent="0.2">
      <c r="A12" s="5" t="s">
        <v>920</v>
      </c>
      <c r="B12" s="5"/>
      <c r="C12" s="5"/>
      <c r="D12" s="5"/>
      <c r="E12" s="5"/>
      <c r="F12" s="5"/>
      <c r="G12" s="5"/>
      <c r="H12" s="5"/>
      <c r="I12" s="5"/>
      <c r="J12" s="5"/>
      <c r="K12" s="5"/>
      <c r="L12" s="5"/>
      <c r="M12" s="5"/>
      <c r="N12" s="9" t="s">
        <v>454</v>
      </c>
      <c r="O12" s="5" t="s">
        <v>459</v>
      </c>
      <c r="P12" s="5"/>
      <c r="Q12" s="5"/>
      <c r="R12" s="5" t="s">
        <v>57</v>
      </c>
      <c r="S12" s="5" t="s">
        <v>58</v>
      </c>
      <c r="T12" s="5">
        <f t="shared" si="0"/>
        <v>1</v>
      </c>
      <c r="U12" s="40">
        <v>2010</v>
      </c>
      <c r="V12" s="40">
        <v>19</v>
      </c>
      <c r="X12" s="40">
        <v>2</v>
      </c>
      <c r="AB12" s="40" t="s">
        <v>59</v>
      </c>
      <c r="AC12" s="40" t="s">
        <v>60</v>
      </c>
      <c r="AF12" s="40">
        <v>251</v>
      </c>
      <c r="AG12" s="40">
        <v>20</v>
      </c>
      <c r="AH12" s="40">
        <v>92</v>
      </c>
      <c r="AI12" s="40">
        <v>0</v>
      </c>
      <c r="AJ12" s="40">
        <v>0</v>
      </c>
      <c r="AK12" s="40">
        <v>1</v>
      </c>
      <c r="AL12" s="40">
        <v>5</v>
      </c>
      <c r="AM12" s="40">
        <v>9</v>
      </c>
      <c r="AN12" s="40">
        <v>14</v>
      </c>
      <c r="AO12" s="40">
        <v>15</v>
      </c>
      <c r="AP12" s="40">
        <v>31</v>
      </c>
      <c r="AQ12" s="40">
        <v>20</v>
      </c>
      <c r="AR12" s="40">
        <v>39</v>
      </c>
      <c r="AS12" s="40">
        <v>36</v>
      </c>
      <c r="AT12" s="40">
        <v>28</v>
      </c>
      <c r="AU12" s="40">
        <v>49</v>
      </c>
      <c r="AV12" s="40">
        <v>4</v>
      </c>
    </row>
    <row r="13" spans="1:49" ht="221" hidden="1" x14ac:dyDescent="0.2">
      <c r="A13" s="2" t="s">
        <v>61</v>
      </c>
      <c r="B13" s="2" t="s">
        <v>766</v>
      </c>
      <c r="C13" s="2" t="s">
        <v>459</v>
      </c>
      <c r="D13" s="2" t="s">
        <v>700</v>
      </c>
      <c r="E13" s="2" t="s">
        <v>769</v>
      </c>
      <c r="F13" s="2" t="s">
        <v>458</v>
      </c>
      <c r="G13" s="2" t="s">
        <v>767</v>
      </c>
      <c r="H13" s="2" t="s">
        <v>768</v>
      </c>
      <c r="I13" s="2" t="s">
        <v>459</v>
      </c>
      <c r="J13" s="2" t="s">
        <v>458</v>
      </c>
      <c r="K13" s="2" t="s">
        <v>758</v>
      </c>
      <c r="L13" s="2" t="s">
        <v>770</v>
      </c>
      <c r="M13" s="2" t="s">
        <v>771</v>
      </c>
      <c r="N13" s="7" t="s">
        <v>455</v>
      </c>
      <c r="O13" s="2" t="s">
        <v>459</v>
      </c>
      <c r="R13" s="2" t="s">
        <v>62</v>
      </c>
      <c r="S13" s="2" t="s">
        <v>45</v>
      </c>
      <c r="T13" s="5">
        <f t="shared" si="0"/>
        <v>5</v>
      </c>
      <c r="U13">
        <v>2012</v>
      </c>
      <c r="V13">
        <v>69</v>
      </c>
      <c r="W13">
        <v>2</v>
      </c>
      <c r="Z13">
        <v>242</v>
      </c>
      <c r="AA13">
        <v>248</v>
      </c>
      <c r="AC13" t="s">
        <v>63</v>
      </c>
      <c r="AF13">
        <v>77</v>
      </c>
      <c r="AG13">
        <v>7</v>
      </c>
      <c r="AH13">
        <v>7</v>
      </c>
      <c r="AI13">
        <v>0</v>
      </c>
      <c r="AJ13">
        <v>0</v>
      </c>
      <c r="AK13">
        <v>0</v>
      </c>
      <c r="AL13">
        <v>0</v>
      </c>
      <c r="AM13">
        <v>3</v>
      </c>
      <c r="AN13">
        <v>4</v>
      </c>
      <c r="AO13">
        <v>7</v>
      </c>
      <c r="AP13">
        <v>10</v>
      </c>
      <c r="AQ13">
        <v>12</v>
      </c>
      <c r="AR13">
        <v>10</v>
      </c>
      <c r="AS13">
        <v>10</v>
      </c>
      <c r="AT13">
        <v>5</v>
      </c>
      <c r="AU13">
        <v>15</v>
      </c>
      <c r="AV13">
        <v>1</v>
      </c>
    </row>
    <row r="14" spans="1:49" ht="136" hidden="1" x14ac:dyDescent="0.2">
      <c r="A14" s="2" t="s">
        <v>64</v>
      </c>
      <c r="B14" s="2" t="s">
        <v>710</v>
      </c>
      <c r="C14" s="2" t="s">
        <v>459</v>
      </c>
      <c r="D14" s="2" t="s">
        <v>711</v>
      </c>
      <c r="E14" s="2" t="s">
        <v>772</v>
      </c>
      <c r="F14" s="2" t="s">
        <v>459</v>
      </c>
      <c r="G14" s="2" t="s">
        <v>712</v>
      </c>
      <c r="H14" s="2" t="s">
        <v>713</v>
      </c>
      <c r="I14" s="2" t="s">
        <v>459</v>
      </c>
      <c r="J14" s="2" t="s">
        <v>458</v>
      </c>
      <c r="K14" s="2" t="s">
        <v>758</v>
      </c>
      <c r="L14" s="2" t="s">
        <v>714</v>
      </c>
      <c r="M14" s="2" t="s">
        <v>773</v>
      </c>
      <c r="N14" s="7" t="s">
        <v>464</v>
      </c>
      <c r="O14" s="2" t="s">
        <v>458</v>
      </c>
      <c r="P14" s="2" t="s">
        <v>458</v>
      </c>
      <c r="Q14" s="2" t="s">
        <v>459</v>
      </c>
      <c r="R14" s="2" t="s">
        <v>65</v>
      </c>
      <c r="S14" s="2" t="s">
        <v>66</v>
      </c>
      <c r="T14" s="5">
        <f t="shared" si="0"/>
        <v>2</v>
      </c>
      <c r="U14">
        <v>2013</v>
      </c>
      <c r="V14">
        <v>84</v>
      </c>
      <c r="W14">
        <v>1</v>
      </c>
      <c r="Z14">
        <v>78</v>
      </c>
      <c r="AA14">
        <v>84</v>
      </c>
      <c r="AC14" t="s">
        <v>67</v>
      </c>
      <c r="AF14">
        <v>44</v>
      </c>
      <c r="AG14">
        <v>4</v>
      </c>
      <c r="AH14">
        <v>89</v>
      </c>
      <c r="AI14">
        <v>0</v>
      </c>
      <c r="AJ14">
        <v>0</v>
      </c>
      <c r="AK14">
        <v>0</v>
      </c>
      <c r="AL14">
        <v>0</v>
      </c>
      <c r="AM14">
        <v>0</v>
      </c>
      <c r="AN14">
        <v>5</v>
      </c>
      <c r="AO14">
        <v>5</v>
      </c>
      <c r="AP14">
        <v>4</v>
      </c>
      <c r="AQ14">
        <v>8</v>
      </c>
      <c r="AR14">
        <v>5</v>
      </c>
      <c r="AS14">
        <v>4</v>
      </c>
      <c r="AT14">
        <v>6</v>
      </c>
      <c r="AU14">
        <v>6</v>
      </c>
      <c r="AV14">
        <v>1</v>
      </c>
    </row>
    <row r="15" spans="1:49" ht="244" hidden="1" customHeight="1" x14ac:dyDescent="0.2">
      <c r="A15" s="2" t="s">
        <v>68</v>
      </c>
      <c r="B15" s="2" t="s">
        <v>774</v>
      </c>
      <c r="C15" s="2" t="s">
        <v>458</v>
      </c>
      <c r="D15" s="2" t="s">
        <v>711</v>
      </c>
      <c r="E15" s="2" t="s">
        <v>715</v>
      </c>
      <c r="F15" s="2" t="s">
        <v>458</v>
      </c>
      <c r="G15" s="2" t="s">
        <v>716</v>
      </c>
      <c r="H15" s="2" t="s">
        <v>717</v>
      </c>
      <c r="I15" s="2" t="s">
        <v>459</v>
      </c>
      <c r="J15" s="2" t="s">
        <v>458</v>
      </c>
      <c r="K15" s="2" t="s">
        <v>758</v>
      </c>
      <c r="L15" s="2" t="s">
        <v>718</v>
      </c>
      <c r="N15" s="7" t="s">
        <v>465</v>
      </c>
      <c r="O15" s="2" t="s">
        <v>458</v>
      </c>
      <c r="P15" s="2" t="s">
        <v>458</v>
      </c>
      <c r="Q15" s="2" t="s">
        <v>459</v>
      </c>
      <c r="R15" s="2" t="s">
        <v>69</v>
      </c>
      <c r="S15" s="2" t="s">
        <v>70</v>
      </c>
      <c r="T15" s="5">
        <f t="shared" si="0"/>
        <v>1</v>
      </c>
      <c r="U15">
        <v>2010</v>
      </c>
      <c r="V15">
        <v>27</v>
      </c>
      <c r="W15">
        <v>10</v>
      </c>
      <c r="Z15">
        <v>734</v>
      </c>
      <c r="AA15">
        <v>738</v>
      </c>
      <c r="AC15" t="s">
        <v>71</v>
      </c>
      <c r="AF15">
        <v>43</v>
      </c>
      <c r="AG15">
        <v>3</v>
      </c>
      <c r="AH15">
        <v>58</v>
      </c>
      <c r="AI15">
        <v>0</v>
      </c>
      <c r="AJ15">
        <v>0</v>
      </c>
      <c r="AK15">
        <v>0</v>
      </c>
      <c r="AL15">
        <v>2</v>
      </c>
      <c r="AM15">
        <v>3</v>
      </c>
      <c r="AN15">
        <v>6</v>
      </c>
      <c r="AO15">
        <v>7</v>
      </c>
      <c r="AP15">
        <v>1</v>
      </c>
      <c r="AQ15">
        <v>5</v>
      </c>
      <c r="AR15">
        <v>3</v>
      </c>
      <c r="AS15">
        <v>3</v>
      </c>
      <c r="AT15">
        <v>6</v>
      </c>
      <c r="AU15">
        <v>7</v>
      </c>
      <c r="AV15">
        <v>0</v>
      </c>
    </row>
    <row r="16" spans="1:49" s="40" customFormat="1" ht="153" x14ac:dyDescent="0.2">
      <c r="A16" s="5" t="s">
        <v>775</v>
      </c>
      <c r="B16" s="5"/>
      <c r="C16" s="5"/>
      <c r="D16" s="5"/>
      <c r="E16" s="5"/>
      <c r="F16" s="5"/>
      <c r="G16" s="5"/>
      <c r="H16" s="5"/>
      <c r="I16" s="5"/>
      <c r="J16" s="5"/>
      <c r="K16" s="5"/>
      <c r="L16" s="5"/>
      <c r="M16" s="5"/>
      <c r="N16" s="9" t="s">
        <v>466</v>
      </c>
      <c r="O16" s="5" t="s">
        <v>459</v>
      </c>
      <c r="P16" s="5" t="s">
        <v>458</v>
      </c>
      <c r="Q16" s="5" t="s">
        <v>458</v>
      </c>
      <c r="R16" s="5" t="s">
        <v>72</v>
      </c>
      <c r="S16" s="5" t="s">
        <v>73</v>
      </c>
      <c r="T16" s="5">
        <f t="shared" si="0"/>
        <v>1</v>
      </c>
      <c r="U16" s="40" t="s">
        <v>74</v>
      </c>
      <c r="V16" s="40">
        <v>2012</v>
      </c>
      <c r="W16" s="40">
        <v>68</v>
      </c>
      <c r="X16" s="40">
        <v>2</v>
      </c>
      <c r="AA16" s="40">
        <v>167</v>
      </c>
      <c r="AB16" s="40">
        <v>72</v>
      </c>
      <c r="AD16" s="40" t="s">
        <v>75</v>
      </c>
      <c r="AG16" s="40">
        <v>36</v>
      </c>
      <c r="AH16" s="40">
        <v>3</v>
      </c>
      <c r="AI16" s="40">
        <v>6</v>
      </c>
      <c r="AJ16" s="40">
        <v>0</v>
      </c>
      <c r="AK16" s="40">
        <v>0</v>
      </c>
      <c r="AL16" s="40">
        <v>0</v>
      </c>
      <c r="AM16" s="40">
        <v>0</v>
      </c>
      <c r="AN16" s="40">
        <v>0</v>
      </c>
      <c r="AO16" s="40">
        <v>0</v>
      </c>
      <c r="AP16" s="40">
        <v>3</v>
      </c>
      <c r="AQ16" s="40">
        <v>2</v>
      </c>
      <c r="AR16" s="40">
        <v>3</v>
      </c>
      <c r="AS16" s="40">
        <v>5</v>
      </c>
      <c r="AT16" s="40">
        <v>3</v>
      </c>
      <c r="AU16" s="40">
        <v>9</v>
      </c>
      <c r="AV16" s="40">
        <v>9</v>
      </c>
      <c r="AW16" s="40">
        <v>2</v>
      </c>
    </row>
    <row r="17" spans="1:50" s="12" customFormat="1" ht="221" hidden="1" x14ac:dyDescent="0.2">
      <c r="A17" s="10" t="s">
        <v>76</v>
      </c>
      <c r="B17" s="10" t="s">
        <v>719</v>
      </c>
      <c r="C17" s="10" t="s">
        <v>463</v>
      </c>
      <c r="D17" s="10" t="s">
        <v>700</v>
      </c>
      <c r="E17" s="10" t="s">
        <v>720</v>
      </c>
      <c r="F17" s="10" t="s">
        <v>459</v>
      </c>
      <c r="G17" s="10" t="s">
        <v>721</v>
      </c>
      <c r="H17" s="10" t="s">
        <v>722</v>
      </c>
      <c r="I17" s="10" t="s">
        <v>777</v>
      </c>
      <c r="J17" s="10" t="s">
        <v>458</v>
      </c>
      <c r="K17" s="10" t="s">
        <v>758</v>
      </c>
      <c r="L17" s="10" t="s">
        <v>723</v>
      </c>
      <c r="M17" s="10"/>
      <c r="N17" s="11" t="s">
        <v>467</v>
      </c>
      <c r="O17" s="10" t="s">
        <v>458</v>
      </c>
      <c r="P17" s="10" t="s">
        <v>458</v>
      </c>
      <c r="Q17" s="10" t="s">
        <v>459</v>
      </c>
      <c r="R17" s="10" t="s">
        <v>77</v>
      </c>
      <c r="S17" s="10" t="s">
        <v>468</v>
      </c>
      <c r="T17" s="5">
        <f t="shared" si="0"/>
        <v>1</v>
      </c>
      <c r="U17" s="12">
        <v>2018</v>
      </c>
      <c r="V17" s="12">
        <v>215</v>
      </c>
      <c r="W17" s="12">
        <v>1</v>
      </c>
      <c r="Z17" s="12">
        <v>42</v>
      </c>
      <c r="AA17" s="12">
        <v>47</v>
      </c>
      <c r="AC17" s="12" t="s">
        <v>78</v>
      </c>
      <c r="AF17" s="12">
        <v>27</v>
      </c>
      <c r="AG17" s="12">
        <v>6</v>
      </c>
      <c r="AH17" s="12">
        <v>75</v>
      </c>
      <c r="AI17" s="12">
        <v>0</v>
      </c>
      <c r="AJ17" s="12">
        <v>0</v>
      </c>
      <c r="AK17" s="12">
        <v>0</v>
      </c>
      <c r="AL17" s="12">
        <v>0</v>
      </c>
      <c r="AM17" s="12">
        <v>0</v>
      </c>
      <c r="AN17" s="12">
        <v>0</v>
      </c>
      <c r="AO17" s="12">
        <v>0</v>
      </c>
      <c r="AP17" s="12">
        <v>0</v>
      </c>
      <c r="AQ17" s="12">
        <v>0</v>
      </c>
      <c r="AR17" s="12">
        <v>0</v>
      </c>
      <c r="AS17" s="12">
        <v>5</v>
      </c>
      <c r="AT17" s="12">
        <v>7</v>
      </c>
      <c r="AU17" s="12">
        <v>13</v>
      </c>
      <c r="AV17" s="12">
        <v>2</v>
      </c>
    </row>
    <row r="18" spans="1:50" s="30" customFormat="1" ht="238" hidden="1" x14ac:dyDescent="0.2">
      <c r="A18" s="6" t="s">
        <v>469</v>
      </c>
      <c r="B18" s="28" t="s">
        <v>778</v>
      </c>
      <c r="C18" s="28" t="s">
        <v>463</v>
      </c>
      <c r="D18" s="28" t="s">
        <v>700</v>
      </c>
      <c r="E18" s="28" t="s">
        <v>782</v>
      </c>
      <c r="F18" s="28" t="s">
        <v>458</v>
      </c>
      <c r="G18" s="28" t="s">
        <v>780</v>
      </c>
      <c r="H18" s="28" t="s">
        <v>779</v>
      </c>
      <c r="I18" s="28" t="s">
        <v>459</v>
      </c>
      <c r="J18" s="28" t="s">
        <v>458</v>
      </c>
      <c r="K18" s="28" t="s">
        <v>758</v>
      </c>
      <c r="L18" s="28" t="s">
        <v>781</v>
      </c>
      <c r="M18" s="28"/>
      <c r="N18" s="29" t="s">
        <v>470</v>
      </c>
      <c r="O18" s="28" t="s">
        <v>458</v>
      </c>
      <c r="P18" s="28" t="s">
        <v>458</v>
      </c>
      <c r="Q18" s="28" t="s">
        <v>458</v>
      </c>
      <c r="R18" s="28" t="s">
        <v>79</v>
      </c>
      <c r="S18" s="28" t="s">
        <v>80</v>
      </c>
      <c r="T18" s="5">
        <f t="shared" si="0"/>
        <v>1</v>
      </c>
      <c r="U18" s="30" t="s">
        <v>81</v>
      </c>
      <c r="V18" s="30">
        <v>2013</v>
      </c>
      <c r="W18" s="30">
        <v>75</v>
      </c>
      <c r="X18" s="30">
        <v>5</v>
      </c>
      <c r="AA18" s="30">
        <v>753</v>
      </c>
      <c r="AB18" s="30">
        <v>758</v>
      </c>
      <c r="AD18" s="30" t="s">
        <v>82</v>
      </c>
      <c r="AG18" s="30">
        <v>26</v>
      </c>
      <c r="AH18" s="30">
        <v>2</v>
      </c>
      <c r="AI18" s="30">
        <v>89</v>
      </c>
      <c r="AJ18" s="30">
        <v>0</v>
      </c>
      <c r="AK18" s="30">
        <v>0</v>
      </c>
      <c r="AL18" s="30">
        <v>0</v>
      </c>
      <c r="AM18" s="30">
        <v>0</v>
      </c>
      <c r="AN18" s="30">
        <v>0</v>
      </c>
      <c r="AO18" s="30">
        <v>0</v>
      </c>
      <c r="AP18" s="30">
        <v>0</v>
      </c>
      <c r="AQ18" s="30">
        <v>3</v>
      </c>
      <c r="AR18" s="30">
        <v>10</v>
      </c>
      <c r="AS18" s="30">
        <v>3</v>
      </c>
      <c r="AT18" s="30">
        <v>4</v>
      </c>
      <c r="AU18" s="30">
        <v>3</v>
      </c>
      <c r="AV18" s="30">
        <v>3</v>
      </c>
      <c r="AW18" s="30">
        <v>0</v>
      </c>
    </row>
    <row r="19" spans="1:50" s="40" customFormat="1" ht="204" hidden="1" x14ac:dyDescent="0.2">
      <c r="A19" s="5" t="s">
        <v>97</v>
      </c>
      <c r="B19" s="5" t="s">
        <v>724</v>
      </c>
      <c r="C19" s="5" t="s">
        <v>463</v>
      </c>
      <c r="D19" s="5" t="s">
        <v>700</v>
      </c>
      <c r="E19" s="5" t="s">
        <v>725</v>
      </c>
      <c r="F19" s="5" t="s">
        <v>458</v>
      </c>
      <c r="G19" s="5" t="s">
        <v>726</v>
      </c>
      <c r="H19" s="5" t="s">
        <v>727</v>
      </c>
      <c r="I19" s="5" t="s">
        <v>459</v>
      </c>
      <c r="J19" s="5" t="s">
        <v>458</v>
      </c>
      <c r="K19" s="5" t="s">
        <v>758</v>
      </c>
      <c r="L19" s="5" t="s">
        <v>728</v>
      </c>
      <c r="M19" s="41" t="s">
        <v>729</v>
      </c>
      <c r="N19" s="9" t="s">
        <v>474</v>
      </c>
      <c r="O19" s="5" t="s">
        <v>458</v>
      </c>
      <c r="P19" s="5" t="s">
        <v>458</v>
      </c>
      <c r="Q19" s="5" t="s">
        <v>459</v>
      </c>
      <c r="R19" s="5" t="s">
        <v>98</v>
      </c>
      <c r="S19" s="5" t="s">
        <v>26</v>
      </c>
      <c r="T19" s="5">
        <f t="shared" si="0"/>
        <v>3</v>
      </c>
      <c r="U19" s="40">
        <v>2015</v>
      </c>
      <c r="V19" s="40">
        <v>10</v>
      </c>
      <c r="W19" s="40">
        <v>3</v>
      </c>
      <c r="Z19" s="40">
        <v>139</v>
      </c>
      <c r="AA19" s="40">
        <v>145</v>
      </c>
      <c r="AC19" s="40" t="s">
        <v>99</v>
      </c>
      <c r="AF19" s="40">
        <v>21</v>
      </c>
      <c r="AG19" s="40">
        <v>3</v>
      </c>
      <c r="AH19" s="40">
        <v>0</v>
      </c>
      <c r="AI19" s="40">
        <v>0</v>
      </c>
      <c r="AJ19" s="40">
        <v>0</v>
      </c>
      <c r="AK19" s="40">
        <v>0</v>
      </c>
      <c r="AL19" s="40">
        <v>0</v>
      </c>
      <c r="AM19" s="40">
        <v>0</v>
      </c>
      <c r="AN19" s="40">
        <v>0</v>
      </c>
      <c r="AO19" s="40">
        <v>3</v>
      </c>
      <c r="AP19" s="40">
        <v>1</v>
      </c>
      <c r="AQ19" s="40">
        <v>5</v>
      </c>
      <c r="AR19" s="40">
        <v>4</v>
      </c>
      <c r="AS19" s="40">
        <v>2</v>
      </c>
      <c r="AT19" s="40">
        <v>5</v>
      </c>
      <c r="AU19" s="40">
        <v>1</v>
      </c>
    </row>
    <row r="20" spans="1:50" ht="323" hidden="1" x14ac:dyDescent="0.2">
      <c r="A20" s="2" t="s">
        <v>104</v>
      </c>
      <c r="B20" s="2" t="s">
        <v>786</v>
      </c>
      <c r="C20" s="2" t="s">
        <v>463</v>
      </c>
      <c r="D20" s="2" t="s">
        <v>711</v>
      </c>
      <c r="E20" s="2" t="s">
        <v>783</v>
      </c>
      <c r="F20" s="2" t="s">
        <v>459</v>
      </c>
      <c r="G20" s="2" t="s">
        <v>784</v>
      </c>
      <c r="H20" s="2" t="s">
        <v>785</v>
      </c>
      <c r="I20" s="2" t="s">
        <v>459</v>
      </c>
      <c r="J20" s="2" t="s">
        <v>458</v>
      </c>
      <c r="K20" s="2" t="s">
        <v>758</v>
      </c>
      <c r="L20" s="2" t="s">
        <v>788</v>
      </c>
      <c r="M20" s="35" t="s">
        <v>787</v>
      </c>
      <c r="N20" s="7" t="s">
        <v>476</v>
      </c>
      <c r="O20" s="2" t="s">
        <v>458</v>
      </c>
      <c r="P20" s="2" t="s">
        <v>458</v>
      </c>
      <c r="Q20" s="2" t="s">
        <v>458</v>
      </c>
      <c r="R20" s="2" t="s">
        <v>105</v>
      </c>
      <c r="S20" s="2" t="s">
        <v>66</v>
      </c>
      <c r="T20" s="5">
        <f t="shared" si="0"/>
        <v>2</v>
      </c>
      <c r="U20">
        <v>2013</v>
      </c>
      <c r="V20">
        <v>84</v>
      </c>
      <c r="W20">
        <v>7</v>
      </c>
      <c r="Z20">
        <v>992</v>
      </c>
      <c r="AA20">
        <v>998</v>
      </c>
      <c r="AC20" t="s">
        <v>106</v>
      </c>
      <c r="AF20">
        <v>18</v>
      </c>
      <c r="AG20">
        <v>2</v>
      </c>
      <c r="AH20">
        <v>0</v>
      </c>
      <c r="AI20">
        <v>0</v>
      </c>
      <c r="AJ20">
        <v>0</v>
      </c>
      <c r="AK20">
        <v>0</v>
      </c>
      <c r="AL20">
        <v>0</v>
      </c>
      <c r="AM20">
        <v>0</v>
      </c>
      <c r="AN20">
        <v>3</v>
      </c>
      <c r="AO20">
        <v>4</v>
      </c>
      <c r="AP20">
        <v>0</v>
      </c>
      <c r="AQ20">
        <v>1</v>
      </c>
      <c r="AR20">
        <v>1</v>
      </c>
      <c r="AS20">
        <v>6</v>
      </c>
      <c r="AT20">
        <v>3</v>
      </c>
      <c r="AU20">
        <v>0</v>
      </c>
    </row>
    <row r="21" spans="1:50" s="14" customFormat="1" ht="221" hidden="1" x14ac:dyDescent="0.2">
      <c r="A21" s="6" t="s">
        <v>113</v>
      </c>
      <c r="B21" s="6" t="s">
        <v>790</v>
      </c>
      <c r="C21" s="6" t="s">
        <v>463</v>
      </c>
      <c r="D21" s="6" t="s">
        <v>700</v>
      </c>
      <c r="E21" s="6" t="s">
        <v>792</v>
      </c>
      <c r="F21" s="6" t="s">
        <v>459</v>
      </c>
      <c r="G21" s="6" t="s">
        <v>789</v>
      </c>
      <c r="H21" s="6" t="s">
        <v>791</v>
      </c>
      <c r="I21" s="6" t="s">
        <v>459</v>
      </c>
      <c r="J21" s="6" t="s">
        <v>459</v>
      </c>
      <c r="K21" s="6" t="s">
        <v>758</v>
      </c>
      <c r="L21" s="6" t="s">
        <v>758</v>
      </c>
      <c r="M21" s="6" t="s">
        <v>793</v>
      </c>
      <c r="N21" s="13" t="s">
        <v>478</v>
      </c>
      <c r="O21" s="6" t="s">
        <v>458</v>
      </c>
      <c r="P21" s="6" t="s">
        <v>459</v>
      </c>
      <c r="Q21" s="6" t="s">
        <v>458</v>
      </c>
      <c r="R21" s="6" t="s">
        <v>114</v>
      </c>
      <c r="S21" s="6" t="s">
        <v>115</v>
      </c>
      <c r="T21" s="6">
        <f t="shared" si="0"/>
        <v>1</v>
      </c>
      <c r="U21" s="14">
        <v>2017</v>
      </c>
      <c r="V21" s="14">
        <v>29</v>
      </c>
      <c r="W21" s="14">
        <v>1</v>
      </c>
      <c r="Z21" s="14">
        <v>83</v>
      </c>
      <c r="AA21" s="14">
        <v>88</v>
      </c>
      <c r="AC21" s="14" t="s">
        <v>116</v>
      </c>
      <c r="AF21" s="14">
        <v>16</v>
      </c>
      <c r="AG21" s="14">
        <v>3</v>
      </c>
      <c r="AH21" s="14">
        <v>2</v>
      </c>
      <c r="AI21" s="14">
        <v>0</v>
      </c>
      <c r="AJ21" s="14">
        <v>0</v>
      </c>
      <c r="AK21" s="14">
        <v>0</v>
      </c>
      <c r="AL21" s="14">
        <v>0</v>
      </c>
      <c r="AM21" s="14">
        <v>0</v>
      </c>
      <c r="AN21" s="14">
        <v>0</v>
      </c>
      <c r="AO21" s="14">
        <v>0</v>
      </c>
      <c r="AP21" s="14">
        <v>0</v>
      </c>
      <c r="AQ21" s="14">
        <v>0</v>
      </c>
      <c r="AR21" s="14">
        <v>0</v>
      </c>
      <c r="AS21" s="14">
        <v>5</v>
      </c>
      <c r="AT21" s="14">
        <v>3</v>
      </c>
      <c r="AU21" s="14">
        <v>7</v>
      </c>
      <c r="AV21" s="14">
        <v>1</v>
      </c>
    </row>
    <row r="22" spans="1:50" ht="272" hidden="1" x14ac:dyDescent="0.2">
      <c r="A22" s="2" t="s">
        <v>117</v>
      </c>
      <c r="B22" s="2" t="s">
        <v>797</v>
      </c>
      <c r="C22" s="2" t="s">
        <v>463</v>
      </c>
      <c r="D22" s="2" t="s">
        <v>700</v>
      </c>
      <c r="E22" s="2" t="s">
        <v>794</v>
      </c>
      <c r="F22" s="2" t="s">
        <v>458</v>
      </c>
      <c r="G22" s="2" t="s">
        <v>796</v>
      </c>
      <c r="H22" s="2" t="s">
        <v>795</v>
      </c>
      <c r="I22" s="2" t="s">
        <v>459</v>
      </c>
      <c r="J22" s="2" t="s">
        <v>458</v>
      </c>
      <c r="K22" s="2" t="s">
        <v>758</v>
      </c>
      <c r="L22" s="2" t="s">
        <v>798</v>
      </c>
      <c r="N22" s="7" t="s">
        <v>479</v>
      </c>
      <c r="O22" s="2" t="s">
        <v>458</v>
      </c>
      <c r="P22" s="2" t="s">
        <v>458</v>
      </c>
      <c r="Q22" s="2" t="s">
        <v>458</v>
      </c>
      <c r="R22" s="2" t="s">
        <v>118</v>
      </c>
      <c r="S22" s="2" t="s">
        <v>45</v>
      </c>
      <c r="T22" s="5">
        <f t="shared" si="0"/>
        <v>5</v>
      </c>
      <c r="U22">
        <v>2016</v>
      </c>
      <c r="V22">
        <v>73</v>
      </c>
      <c r="W22">
        <v>1</v>
      </c>
      <c r="Z22">
        <v>121</v>
      </c>
      <c r="AA22">
        <v>128</v>
      </c>
      <c r="AC22" t="s">
        <v>119</v>
      </c>
      <c r="AF22">
        <v>16</v>
      </c>
      <c r="AG22">
        <v>2</v>
      </c>
      <c r="AH22">
        <v>67</v>
      </c>
      <c r="AI22">
        <v>0</v>
      </c>
      <c r="AJ22">
        <v>0</v>
      </c>
      <c r="AK22">
        <v>0</v>
      </c>
      <c r="AL22">
        <v>0</v>
      </c>
      <c r="AM22">
        <v>0</v>
      </c>
      <c r="AN22">
        <v>0</v>
      </c>
      <c r="AO22">
        <v>0</v>
      </c>
      <c r="AP22">
        <v>0</v>
      </c>
      <c r="AQ22">
        <v>1</v>
      </c>
      <c r="AR22">
        <v>2</v>
      </c>
      <c r="AS22">
        <v>4</v>
      </c>
      <c r="AT22">
        <v>4</v>
      </c>
      <c r="AU22">
        <v>4</v>
      </c>
      <c r="AV22">
        <v>1</v>
      </c>
    </row>
    <row r="23" spans="1:50" s="12" customFormat="1" ht="272" hidden="1" x14ac:dyDescent="0.2">
      <c r="A23" s="10" t="s">
        <v>120</v>
      </c>
      <c r="B23" s="10" t="s">
        <v>799</v>
      </c>
      <c r="C23" s="10" t="s">
        <v>459</v>
      </c>
      <c r="D23" s="10" t="s">
        <v>700</v>
      </c>
      <c r="E23" s="10" t="s">
        <v>801</v>
      </c>
      <c r="F23" s="10" t="s">
        <v>459</v>
      </c>
      <c r="G23" s="10" t="s">
        <v>802</v>
      </c>
      <c r="H23" s="10" t="s">
        <v>800</v>
      </c>
      <c r="I23" s="10" t="s">
        <v>459</v>
      </c>
      <c r="J23" s="10" t="s">
        <v>458</v>
      </c>
      <c r="K23" s="10" t="s">
        <v>758</v>
      </c>
      <c r="L23" s="10" t="s">
        <v>803</v>
      </c>
      <c r="M23" s="10"/>
      <c r="N23" s="11" t="s">
        <v>480</v>
      </c>
      <c r="O23" s="10" t="s">
        <v>458</v>
      </c>
      <c r="P23" s="10" t="s">
        <v>458</v>
      </c>
      <c r="Q23" s="10" t="s">
        <v>458</v>
      </c>
      <c r="R23" s="10" t="s">
        <v>121</v>
      </c>
      <c r="S23" s="10" t="s">
        <v>481</v>
      </c>
      <c r="T23" s="5">
        <f t="shared" si="0"/>
        <v>1</v>
      </c>
      <c r="U23" s="12">
        <v>2015</v>
      </c>
      <c r="V23" s="12">
        <v>46</v>
      </c>
      <c r="W23" s="12">
        <v>9</v>
      </c>
      <c r="Z23" s="12">
        <v>1796</v>
      </c>
      <c r="AA23" s="12">
        <v>1800</v>
      </c>
      <c r="AC23" s="12" t="s">
        <v>122</v>
      </c>
      <c r="AF23" s="12">
        <v>16</v>
      </c>
      <c r="AG23" s="12">
        <v>2</v>
      </c>
      <c r="AH23" s="12">
        <v>29</v>
      </c>
      <c r="AI23" s="12">
        <v>0</v>
      </c>
      <c r="AJ23" s="12">
        <v>0</v>
      </c>
      <c r="AK23" s="12">
        <v>0</v>
      </c>
      <c r="AL23" s="12">
        <v>0</v>
      </c>
      <c r="AM23" s="12">
        <v>0</v>
      </c>
      <c r="AN23" s="12">
        <v>0</v>
      </c>
      <c r="AO23" s="12">
        <v>0</v>
      </c>
      <c r="AP23" s="12">
        <v>0</v>
      </c>
      <c r="AQ23" s="12">
        <v>4</v>
      </c>
      <c r="AR23" s="12">
        <v>2</v>
      </c>
      <c r="AS23" s="12">
        <v>5</v>
      </c>
      <c r="AT23" s="12">
        <v>2</v>
      </c>
      <c r="AU23" s="12">
        <v>2</v>
      </c>
      <c r="AV23" s="12">
        <v>1</v>
      </c>
    </row>
    <row r="24" spans="1:50" s="40" customFormat="1" ht="289" x14ac:dyDescent="0.2">
      <c r="A24" s="5" t="s">
        <v>922</v>
      </c>
      <c r="B24" s="5"/>
      <c r="C24" s="5"/>
      <c r="D24" s="5"/>
      <c r="E24" s="5"/>
      <c r="F24" s="5"/>
      <c r="G24" s="5"/>
      <c r="H24" s="5"/>
      <c r="I24" s="5"/>
      <c r="J24" s="5"/>
      <c r="K24" s="5"/>
      <c r="L24" s="5"/>
      <c r="M24" s="5"/>
      <c r="N24" s="9" t="s">
        <v>482</v>
      </c>
      <c r="O24" s="5" t="s">
        <v>458</v>
      </c>
      <c r="P24" s="5" t="s">
        <v>459</v>
      </c>
      <c r="Q24" s="5" t="s">
        <v>459</v>
      </c>
      <c r="R24" s="5" t="s">
        <v>123</v>
      </c>
      <c r="S24" s="5" t="s">
        <v>124</v>
      </c>
      <c r="T24" s="5">
        <f t="shared" si="0"/>
        <v>1</v>
      </c>
      <c r="U24" s="40">
        <v>2013</v>
      </c>
      <c r="V24" s="40">
        <v>31</v>
      </c>
      <c r="W24" s="40">
        <v>1</v>
      </c>
      <c r="Z24" s="40">
        <v>167</v>
      </c>
      <c r="AA24" s="40">
        <v>77</v>
      </c>
      <c r="AC24" s="40" t="s">
        <v>125</v>
      </c>
      <c r="AF24" s="40">
        <v>16</v>
      </c>
      <c r="AG24" s="40">
        <v>1</v>
      </c>
      <c r="AH24" s="40">
        <v>78</v>
      </c>
      <c r="AI24" s="40">
        <v>0</v>
      </c>
      <c r="AJ24" s="40">
        <v>0</v>
      </c>
      <c r="AK24" s="40">
        <v>0</v>
      </c>
      <c r="AL24" s="40">
        <v>0</v>
      </c>
      <c r="AM24" s="40">
        <v>0</v>
      </c>
      <c r="AN24" s="40">
        <v>0</v>
      </c>
      <c r="AO24" s="40">
        <v>2</v>
      </c>
      <c r="AP24" s="40">
        <v>4</v>
      </c>
      <c r="AQ24" s="40">
        <v>1</v>
      </c>
      <c r="AR24" s="40">
        <v>3</v>
      </c>
      <c r="AS24" s="40">
        <v>2</v>
      </c>
      <c r="AT24" s="40">
        <v>0</v>
      </c>
      <c r="AU24" s="40">
        <v>3</v>
      </c>
      <c r="AV24" s="40">
        <v>1</v>
      </c>
    </row>
    <row r="25" spans="1:50" s="14" customFormat="1" ht="102" hidden="1" x14ac:dyDescent="0.2">
      <c r="A25" s="6" t="s">
        <v>126</v>
      </c>
      <c r="B25" s="6"/>
      <c r="C25" s="6"/>
      <c r="D25" s="6"/>
      <c r="E25" s="6"/>
      <c r="F25" s="6"/>
      <c r="G25" s="6"/>
      <c r="H25" s="6"/>
      <c r="I25" s="6"/>
      <c r="J25" s="6"/>
      <c r="K25" s="6"/>
      <c r="L25" s="6"/>
      <c r="M25" s="6"/>
      <c r="N25" s="13" t="s">
        <v>483</v>
      </c>
      <c r="O25" s="6" t="s">
        <v>458</v>
      </c>
      <c r="P25" s="6" t="s">
        <v>459</v>
      </c>
      <c r="Q25" s="6" t="s">
        <v>459</v>
      </c>
      <c r="R25" s="6" t="s">
        <v>127</v>
      </c>
      <c r="S25" s="6" t="s">
        <v>128</v>
      </c>
      <c r="T25" s="5">
        <f t="shared" si="0"/>
        <v>1</v>
      </c>
      <c r="U25" s="14" t="s">
        <v>81</v>
      </c>
      <c r="V25" s="14">
        <v>2017</v>
      </c>
      <c r="W25" s="14">
        <v>82</v>
      </c>
      <c r="X25" s="14">
        <v>6</v>
      </c>
      <c r="Y25" s="14">
        <v>1</v>
      </c>
      <c r="AA25" s="14" t="s">
        <v>129</v>
      </c>
      <c r="AB25" s="14" t="s">
        <v>130</v>
      </c>
      <c r="AD25" s="14" t="s">
        <v>131</v>
      </c>
      <c r="AE25" s="14" t="s">
        <v>132</v>
      </c>
      <c r="AF25" s="14" t="s">
        <v>133</v>
      </c>
      <c r="AG25" s="14">
        <v>2016</v>
      </c>
      <c r="AH25" s="14">
        <v>14</v>
      </c>
      <c r="AI25" s="14">
        <v>2</v>
      </c>
      <c r="AJ25" s="14">
        <v>8</v>
      </c>
      <c r="AK25" s="14">
        <v>0</v>
      </c>
      <c r="AL25" s="14">
        <v>0</v>
      </c>
      <c r="AM25" s="14">
        <v>0</v>
      </c>
      <c r="AN25" s="14">
        <v>0</v>
      </c>
      <c r="AO25" s="14">
        <v>0</v>
      </c>
      <c r="AP25" s="14">
        <v>0</v>
      </c>
      <c r="AQ25" s="14">
        <v>0</v>
      </c>
      <c r="AR25" s="14">
        <v>0</v>
      </c>
      <c r="AS25" s="14">
        <v>0</v>
      </c>
      <c r="AT25" s="14">
        <v>0</v>
      </c>
      <c r="AU25" s="14">
        <v>1</v>
      </c>
      <c r="AV25" s="14">
        <v>3</v>
      </c>
      <c r="AW25" s="14">
        <v>6</v>
      </c>
      <c r="AX25" s="14">
        <v>4</v>
      </c>
    </row>
    <row r="26" spans="1:50" s="30" customFormat="1" ht="153" x14ac:dyDescent="0.2">
      <c r="A26" s="28" t="s">
        <v>935</v>
      </c>
      <c r="B26" s="28" t="s">
        <v>808</v>
      </c>
      <c r="C26" s="28" t="s">
        <v>459</v>
      </c>
      <c r="D26" s="28" t="s">
        <v>700</v>
      </c>
      <c r="E26" s="28" t="s">
        <v>807</v>
      </c>
      <c r="F26" s="28" t="s">
        <v>459</v>
      </c>
      <c r="G26" s="28" t="s">
        <v>805</v>
      </c>
      <c r="H26" s="28" t="s">
        <v>806</v>
      </c>
      <c r="I26" s="28" t="s">
        <v>459</v>
      </c>
      <c r="J26" s="28" t="s">
        <v>758</v>
      </c>
      <c r="K26" s="28" t="s">
        <v>758</v>
      </c>
      <c r="L26" s="28" t="s">
        <v>758</v>
      </c>
      <c r="M26" s="28" t="s">
        <v>804</v>
      </c>
      <c r="N26" s="29" t="s">
        <v>484</v>
      </c>
      <c r="O26" s="28" t="s">
        <v>485</v>
      </c>
      <c r="P26" s="28"/>
      <c r="Q26" s="28"/>
      <c r="R26" s="28" t="s">
        <v>135</v>
      </c>
      <c r="S26" s="28" t="s">
        <v>136</v>
      </c>
      <c r="T26" s="5">
        <f t="shared" si="0"/>
        <v>1</v>
      </c>
      <c r="U26" s="30" t="s">
        <v>137</v>
      </c>
      <c r="V26" s="30">
        <v>2011</v>
      </c>
      <c r="W26" s="30">
        <v>366</v>
      </c>
      <c r="X26" s="30">
        <v>1562</v>
      </c>
      <c r="AA26" s="30">
        <v>276</v>
      </c>
      <c r="AB26" s="30">
        <v>285</v>
      </c>
      <c r="AD26" s="30" t="s">
        <v>138</v>
      </c>
      <c r="AG26" s="30">
        <v>14</v>
      </c>
      <c r="AH26" s="30">
        <v>1</v>
      </c>
      <c r="AI26" s="30">
        <v>27</v>
      </c>
      <c r="AJ26" s="30">
        <v>0</v>
      </c>
      <c r="AK26" s="30">
        <v>0</v>
      </c>
      <c r="AL26" s="30">
        <v>0</v>
      </c>
      <c r="AM26" s="30">
        <v>1</v>
      </c>
      <c r="AN26" s="30">
        <v>1</v>
      </c>
      <c r="AO26" s="30">
        <v>3</v>
      </c>
      <c r="AP26" s="30">
        <v>0</v>
      </c>
      <c r="AQ26" s="30">
        <v>1</v>
      </c>
      <c r="AR26" s="30">
        <v>1</v>
      </c>
      <c r="AS26" s="30">
        <v>4</v>
      </c>
      <c r="AT26" s="30">
        <v>1</v>
      </c>
      <c r="AU26" s="30">
        <v>0</v>
      </c>
      <c r="AV26" s="30">
        <v>2</v>
      </c>
      <c r="AW26" s="30">
        <v>0</v>
      </c>
    </row>
    <row r="27" spans="1:50" ht="289" hidden="1" x14ac:dyDescent="0.2">
      <c r="A27" s="2" t="s">
        <v>139</v>
      </c>
      <c r="B27" s="2" t="s">
        <v>809</v>
      </c>
      <c r="C27" s="2" t="s">
        <v>459</v>
      </c>
      <c r="D27" s="2" t="s">
        <v>700</v>
      </c>
      <c r="E27" s="2" t="s">
        <v>810</v>
      </c>
      <c r="F27" s="2" t="s">
        <v>459</v>
      </c>
      <c r="G27" s="2" t="s">
        <v>812</v>
      </c>
      <c r="H27" s="2" t="s">
        <v>811</v>
      </c>
      <c r="I27" s="2" t="s">
        <v>459</v>
      </c>
      <c r="J27" s="2" t="s">
        <v>458</v>
      </c>
      <c r="K27" s="2" t="s">
        <v>758</v>
      </c>
      <c r="L27" s="2" t="s">
        <v>813</v>
      </c>
      <c r="N27" s="7" t="s">
        <v>486</v>
      </c>
      <c r="O27" s="2" t="s">
        <v>458</v>
      </c>
      <c r="P27" s="2" t="s">
        <v>458</v>
      </c>
      <c r="Q27" s="2" t="s">
        <v>458</v>
      </c>
      <c r="R27" s="2" t="s">
        <v>140</v>
      </c>
      <c r="S27" s="2" t="s">
        <v>141</v>
      </c>
      <c r="T27" s="5">
        <f t="shared" si="0"/>
        <v>1</v>
      </c>
      <c r="U27">
        <v>2010</v>
      </c>
      <c r="V27">
        <v>34</v>
      </c>
      <c r="W27">
        <v>1</v>
      </c>
      <c r="Z27">
        <v>164</v>
      </c>
      <c r="AA27">
        <v>168</v>
      </c>
      <c r="AC27" t="s">
        <v>142</v>
      </c>
      <c r="AF27">
        <v>14</v>
      </c>
      <c r="AG27">
        <v>1</v>
      </c>
      <c r="AH27">
        <v>17</v>
      </c>
      <c r="AI27">
        <v>0</v>
      </c>
      <c r="AJ27">
        <v>0</v>
      </c>
      <c r="AK27">
        <v>0</v>
      </c>
      <c r="AL27">
        <v>1</v>
      </c>
      <c r="AM27">
        <v>1</v>
      </c>
      <c r="AN27">
        <v>2</v>
      </c>
      <c r="AO27">
        <v>0</v>
      </c>
      <c r="AP27">
        <v>2</v>
      </c>
      <c r="AQ27">
        <v>3</v>
      </c>
      <c r="AR27">
        <v>1</v>
      </c>
      <c r="AS27">
        <v>1</v>
      </c>
      <c r="AT27">
        <v>1</v>
      </c>
      <c r="AU27">
        <v>2</v>
      </c>
      <c r="AV27">
        <v>0</v>
      </c>
    </row>
    <row r="28" spans="1:50" ht="255" hidden="1" x14ac:dyDescent="0.2">
      <c r="A28" s="2" t="s">
        <v>146</v>
      </c>
      <c r="B28" s="2" t="s">
        <v>815</v>
      </c>
      <c r="C28" s="2" t="s">
        <v>459</v>
      </c>
      <c r="D28" s="2" t="s">
        <v>694</v>
      </c>
      <c r="E28" s="2" t="s">
        <v>816</v>
      </c>
      <c r="F28" s="2" t="s">
        <v>458</v>
      </c>
      <c r="G28" s="2" t="s">
        <v>814</v>
      </c>
      <c r="H28" s="2" t="s">
        <v>817</v>
      </c>
      <c r="I28" s="2" t="s">
        <v>459</v>
      </c>
      <c r="J28" s="2" t="s">
        <v>459</v>
      </c>
      <c r="K28" s="2" t="s">
        <v>758</v>
      </c>
      <c r="L28" s="2" t="s">
        <v>818</v>
      </c>
      <c r="N28" s="7" t="s">
        <v>488</v>
      </c>
      <c r="O28" s="2" t="s">
        <v>458</v>
      </c>
      <c r="P28" s="2" t="s">
        <v>459</v>
      </c>
      <c r="Q28" s="2" t="s">
        <v>459</v>
      </c>
      <c r="R28" s="2" t="s">
        <v>147</v>
      </c>
      <c r="S28" s="2" t="s">
        <v>22</v>
      </c>
      <c r="T28" s="5">
        <f t="shared" si="0"/>
        <v>2</v>
      </c>
      <c r="U28">
        <v>2010</v>
      </c>
      <c r="V28">
        <v>18</v>
      </c>
      <c r="AB28">
        <v>13</v>
      </c>
      <c r="AC28" t="s">
        <v>148</v>
      </c>
      <c r="AF28">
        <v>13</v>
      </c>
      <c r="AG28">
        <v>1</v>
      </c>
      <c r="AH28">
        <v>8</v>
      </c>
      <c r="AI28">
        <v>0</v>
      </c>
      <c r="AJ28">
        <v>0</v>
      </c>
      <c r="AK28">
        <v>0</v>
      </c>
      <c r="AL28">
        <v>1</v>
      </c>
      <c r="AM28">
        <v>1</v>
      </c>
      <c r="AN28">
        <v>2</v>
      </c>
      <c r="AO28">
        <v>2</v>
      </c>
      <c r="AP28">
        <v>2</v>
      </c>
      <c r="AQ28">
        <v>2</v>
      </c>
      <c r="AR28">
        <v>0</v>
      </c>
      <c r="AS28">
        <v>2</v>
      </c>
      <c r="AT28">
        <v>0</v>
      </c>
      <c r="AU28">
        <v>0</v>
      </c>
      <c r="AV28">
        <v>1</v>
      </c>
    </row>
    <row r="29" spans="1:50" s="14" customFormat="1" ht="306" hidden="1" x14ac:dyDescent="0.2">
      <c r="A29" s="6" t="s">
        <v>149</v>
      </c>
      <c r="B29" s="6"/>
      <c r="C29" s="6"/>
      <c r="D29" s="6"/>
      <c r="E29" s="6"/>
      <c r="F29" s="6"/>
      <c r="G29" s="6"/>
      <c r="H29" s="6"/>
      <c r="I29" s="6"/>
      <c r="J29" s="6"/>
      <c r="K29" s="6"/>
      <c r="L29" s="6"/>
      <c r="M29" s="6"/>
      <c r="N29" s="15" t="s">
        <v>489</v>
      </c>
      <c r="O29" s="6" t="s">
        <v>490</v>
      </c>
      <c r="P29" s="6" t="s">
        <v>458</v>
      </c>
      <c r="Q29" s="6" t="s">
        <v>458</v>
      </c>
      <c r="R29" s="6" t="s">
        <v>150</v>
      </c>
      <c r="S29" s="6" t="s">
        <v>151</v>
      </c>
      <c r="T29" s="5">
        <f t="shared" si="0"/>
        <v>1</v>
      </c>
      <c r="U29" s="14">
        <v>2015</v>
      </c>
      <c r="V29" s="14">
        <v>15</v>
      </c>
      <c r="W29" s="14">
        <v>6</v>
      </c>
      <c r="Z29" s="14">
        <v>430</v>
      </c>
      <c r="AA29" s="14">
        <v>436</v>
      </c>
      <c r="AC29" s="14" t="s">
        <v>152</v>
      </c>
      <c r="AF29" s="14">
        <v>12</v>
      </c>
      <c r="AG29" s="14">
        <v>1</v>
      </c>
      <c r="AH29" s="14">
        <v>71</v>
      </c>
      <c r="AI29" s="14">
        <v>0</v>
      </c>
      <c r="AJ29" s="14">
        <v>0</v>
      </c>
      <c r="AK29" s="14">
        <v>0</v>
      </c>
      <c r="AL29" s="14">
        <v>0</v>
      </c>
      <c r="AM29" s="14">
        <v>0</v>
      </c>
      <c r="AN29" s="14">
        <v>0</v>
      </c>
      <c r="AO29" s="14">
        <v>0</v>
      </c>
      <c r="AP29" s="14">
        <v>0</v>
      </c>
      <c r="AQ29" s="14">
        <v>1</v>
      </c>
      <c r="AR29" s="14">
        <v>1</v>
      </c>
      <c r="AS29" s="14">
        <v>2</v>
      </c>
      <c r="AT29" s="14">
        <v>5</v>
      </c>
      <c r="AU29" s="14">
        <v>2</v>
      </c>
      <c r="AV29" s="14">
        <v>1</v>
      </c>
    </row>
    <row r="30" spans="1:50" ht="340" hidden="1" x14ac:dyDescent="0.2">
      <c r="A30" s="2" t="s">
        <v>153</v>
      </c>
      <c r="B30" s="2" t="s">
        <v>766</v>
      </c>
      <c r="C30" s="2" t="s">
        <v>459</v>
      </c>
      <c r="D30" s="2" t="s">
        <v>700</v>
      </c>
      <c r="E30" s="2" t="s">
        <v>820</v>
      </c>
      <c r="F30" s="2" t="s">
        <v>458</v>
      </c>
      <c r="G30" s="2" t="s">
        <v>821</v>
      </c>
      <c r="H30" s="2" t="s">
        <v>819</v>
      </c>
      <c r="I30" s="2" t="s">
        <v>459</v>
      </c>
      <c r="J30" s="2" t="s">
        <v>458</v>
      </c>
      <c r="K30" s="2" t="s">
        <v>758</v>
      </c>
      <c r="L30" s="2" t="s">
        <v>822</v>
      </c>
      <c r="N30" s="7" t="s">
        <v>492</v>
      </c>
      <c r="O30" s="2" t="s">
        <v>491</v>
      </c>
      <c r="P30" s="2" t="s">
        <v>459</v>
      </c>
      <c r="Q30" s="2" t="s">
        <v>459</v>
      </c>
      <c r="R30" s="2" t="s">
        <v>154</v>
      </c>
      <c r="S30" s="2" t="s">
        <v>155</v>
      </c>
      <c r="T30" s="5">
        <f t="shared" si="0"/>
        <v>1</v>
      </c>
      <c r="U30">
        <v>2013</v>
      </c>
      <c r="V30">
        <v>154</v>
      </c>
      <c r="W30">
        <v>2</v>
      </c>
      <c r="Z30">
        <v>345</v>
      </c>
      <c r="AA30">
        <v>350</v>
      </c>
      <c r="AC30" t="s">
        <v>156</v>
      </c>
      <c r="AF30">
        <v>12</v>
      </c>
      <c r="AG30">
        <v>1</v>
      </c>
      <c r="AH30">
        <v>33</v>
      </c>
      <c r="AI30">
        <v>0</v>
      </c>
      <c r="AJ30">
        <v>0</v>
      </c>
      <c r="AK30">
        <v>0</v>
      </c>
      <c r="AL30">
        <v>0</v>
      </c>
      <c r="AM30">
        <v>0</v>
      </c>
      <c r="AN30">
        <v>0</v>
      </c>
      <c r="AO30">
        <v>1</v>
      </c>
      <c r="AP30">
        <v>3</v>
      </c>
      <c r="AQ30">
        <v>4</v>
      </c>
      <c r="AR30">
        <v>2</v>
      </c>
      <c r="AS30">
        <v>1</v>
      </c>
      <c r="AT30">
        <v>1</v>
      </c>
      <c r="AU30">
        <v>0</v>
      </c>
      <c r="AV30">
        <v>0</v>
      </c>
    </row>
    <row r="31" spans="1:50" s="30" customFormat="1" ht="289" x14ac:dyDescent="0.2">
      <c r="A31" s="28" t="s">
        <v>936</v>
      </c>
      <c r="B31" s="28" t="s">
        <v>719</v>
      </c>
      <c r="C31" s="28" t="s">
        <v>463</v>
      </c>
      <c r="D31" s="28" t="s">
        <v>700</v>
      </c>
      <c r="E31" s="28" t="s">
        <v>730</v>
      </c>
      <c r="F31" s="28" t="s">
        <v>458</v>
      </c>
      <c r="G31" s="28" t="s">
        <v>731</v>
      </c>
      <c r="H31" s="28" t="s">
        <v>732</v>
      </c>
      <c r="I31" s="28" t="s">
        <v>459</v>
      </c>
      <c r="J31" s="28" t="s">
        <v>458</v>
      </c>
      <c r="K31" s="28" t="s">
        <v>758</v>
      </c>
      <c r="L31" s="28" t="s">
        <v>733</v>
      </c>
      <c r="M31" s="28"/>
      <c r="N31" s="29" t="s">
        <v>494</v>
      </c>
      <c r="O31" s="28" t="s">
        <v>458</v>
      </c>
      <c r="P31" s="28" t="s">
        <v>458</v>
      </c>
      <c r="Q31" s="28" t="s">
        <v>459</v>
      </c>
      <c r="R31" s="28" t="s">
        <v>163</v>
      </c>
      <c r="S31" s="28" t="s">
        <v>164</v>
      </c>
      <c r="T31" s="5">
        <f t="shared" si="0"/>
        <v>2</v>
      </c>
      <c r="U31" s="30">
        <v>2013</v>
      </c>
      <c r="V31" s="30">
        <v>39</v>
      </c>
      <c r="W31" s="30">
        <v>5</v>
      </c>
      <c r="Z31" s="30">
        <v>517</v>
      </c>
      <c r="AA31" s="30">
        <v>522</v>
      </c>
      <c r="AC31" s="30" t="s">
        <v>165</v>
      </c>
      <c r="AF31" s="30">
        <v>11</v>
      </c>
      <c r="AG31" s="30">
        <v>1</v>
      </c>
      <c r="AH31" s="30">
        <v>22</v>
      </c>
      <c r="AI31" s="30">
        <v>0</v>
      </c>
      <c r="AJ31" s="30">
        <v>0</v>
      </c>
      <c r="AK31" s="30">
        <v>0</v>
      </c>
      <c r="AL31" s="30">
        <v>0</v>
      </c>
      <c r="AM31" s="30">
        <v>0</v>
      </c>
      <c r="AN31" s="30">
        <v>0</v>
      </c>
      <c r="AO31" s="30">
        <v>3</v>
      </c>
      <c r="AP31" s="30">
        <v>2</v>
      </c>
      <c r="AQ31" s="30">
        <v>1</v>
      </c>
      <c r="AR31" s="30">
        <v>4</v>
      </c>
      <c r="AS31" s="30">
        <v>1</v>
      </c>
      <c r="AT31" s="30">
        <v>0</v>
      </c>
      <c r="AU31" s="30">
        <v>0</v>
      </c>
      <c r="AV31" s="30">
        <v>0</v>
      </c>
    </row>
    <row r="32" spans="1:50" ht="388" hidden="1" x14ac:dyDescent="0.2">
      <c r="A32" s="2" t="s">
        <v>166</v>
      </c>
      <c r="B32" s="2" t="s">
        <v>826</v>
      </c>
      <c r="C32" s="2" t="s">
        <v>459</v>
      </c>
      <c r="D32" s="2" t="s">
        <v>711</v>
      </c>
      <c r="E32" s="2" t="s">
        <v>823</v>
      </c>
      <c r="F32" s="2" t="s">
        <v>459</v>
      </c>
      <c r="G32" s="2" t="s">
        <v>824</v>
      </c>
      <c r="H32" s="2" t="s">
        <v>825</v>
      </c>
      <c r="I32" s="2" t="s">
        <v>459</v>
      </c>
      <c r="J32" s="2" t="s">
        <v>458</v>
      </c>
      <c r="K32" s="2" t="s">
        <v>758</v>
      </c>
      <c r="L32" s="2" t="s">
        <v>827</v>
      </c>
      <c r="N32" s="7" t="s">
        <v>495</v>
      </c>
      <c r="O32" s="2" t="s">
        <v>496</v>
      </c>
      <c r="P32" s="2" t="s">
        <v>458</v>
      </c>
      <c r="Q32" s="2" t="s">
        <v>458</v>
      </c>
      <c r="R32" s="2" t="s">
        <v>167</v>
      </c>
      <c r="S32" s="2" t="s">
        <v>164</v>
      </c>
      <c r="T32" s="5">
        <f t="shared" si="0"/>
        <v>2</v>
      </c>
      <c r="U32">
        <v>2014</v>
      </c>
      <c r="V32">
        <v>40</v>
      </c>
      <c r="W32">
        <v>4</v>
      </c>
      <c r="Z32">
        <v>429</v>
      </c>
      <c r="AA32">
        <v>443</v>
      </c>
      <c r="AC32" t="s">
        <v>168</v>
      </c>
      <c r="AF32">
        <v>10</v>
      </c>
      <c r="AG32">
        <v>1</v>
      </c>
      <c r="AH32">
        <v>25</v>
      </c>
      <c r="AI32">
        <v>0</v>
      </c>
      <c r="AJ32">
        <v>0</v>
      </c>
      <c r="AK32">
        <v>0</v>
      </c>
      <c r="AL32">
        <v>0</v>
      </c>
      <c r="AM32">
        <v>0</v>
      </c>
      <c r="AN32">
        <v>0</v>
      </c>
      <c r="AO32">
        <v>1</v>
      </c>
      <c r="AP32">
        <v>1</v>
      </c>
      <c r="AQ32">
        <v>1</v>
      </c>
      <c r="AR32">
        <v>2</v>
      </c>
      <c r="AS32">
        <v>1</v>
      </c>
      <c r="AT32">
        <v>0</v>
      </c>
      <c r="AU32">
        <v>4</v>
      </c>
      <c r="AV32">
        <v>0</v>
      </c>
    </row>
    <row r="33" spans="1:51" s="12" customFormat="1" ht="323" hidden="1" x14ac:dyDescent="0.2">
      <c r="A33" s="10" t="s">
        <v>179</v>
      </c>
      <c r="B33" s="10" t="s">
        <v>734</v>
      </c>
      <c r="C33" s="10" t="s">
        <v>458</v>
      </c>
      <c r="D33" s="10" t="s">
        <v>700</v>
      </c>
      <c r="E33" s="10" t="s">
        <v>735</v>
      </c>
      <c r="F33" s="10" t="s">
        <v>459</v>
      </c>
      <c r="G33" s="10" t="s">
        <v>736</v>
      </c>
      <c r="H33" s="10" t="s">
        <v>737</v>
      </c>
      <c r="I33" s="10" t="s">
        <v>459</v>
      </c>
      <c r="J33" s="10" t="s">
        <v>458</v>
      </c>
      <c r="K33" s="10" t="s">
        <v>758</v>
      </c>
      <c r="L33" s="10" t="s">
        <v>738</v>
      </c>
      <c r="M33" s="10"/>
      <c r="N33" s="11" t="s">
        <v>499</v>
      </c>
      <c r="O33" s="10" t="s">
        <v>458</v>
      </c>
      <c r="P33" s="10" t="s">
        <v>458</v>
      </c>
      <c r="Q33" s="10" t="s">
        <v>459</v>
      </c>
      <c r="R33" s="10" t="s">
        <v>180</v>
      </c>
      <c r="S33" s="10" t="s">
        <v>181</v>
      </c>
      <c r="T33" s="5">
        <f t="shared" si="0"/>
        <v>1</v>
      </c>
      <c r="U33" s="12">
        <v>2013</v>
      </c>
      <c r="V33" s="12">
        <v>29</v>
      </c>
      <c r="W33" s="12">
        <v>5</v>
      </c>
      <c r="Z33" s="12">
        <v>1265</v>
      </c>
      <c r="AA33" s="12">
        <v>1268</v>
      </c>
      <c r="AF33" s="12">
        <v>10</v>
      </c>
      <c r="AG33" s="12">
        <v>1</v>
      </c>
      <c r="AH33" s="12">
        <v>11</v>
      </c>
      <c r="AI33" s="12">
        <v>0</v>
      </c>
      <c r="AJ33" s="12">
        <v>0</v>
      </c>
      <c r="AK33" s="12">
        <v>0</v>
      </c>
      <c r="AL33" s="12">
        <v>0</v>
      </c>
      <c r="AM33" s="12">
        <v>0</v>
      </c>
      <c r="AN33" s="12">
        <v>0</v>
      </c>
      <c r="AO33" s="12">
        <v>0</v>
      </c>
      <c r="AP33" s="12">
        <v>1</v>
      </c>
      <c r="AQ33" s="12">
        <v>1</v>
      </c>
      <c r="AR33" s="12">
        <v>2</v>
      </c>
      <c r="AS33" s="12">
        <v>2</v>
      </c>
      <c r="AT33" s="12">
        <v>1</v>
      </c>
      <c r="AU33" s="12">
        <v>3</v>
      </c>
      <c r="AV33" s="12">
        <v>0</v>
      </c>
    </row>
    <row r="34" spans="1:51" ht="215" hidden="1" customHeight="1" x14ac:dyDescent="0.2">
      <c r="A34" s="2" t="s">
        <v>182</v>
      </c>
      <c r="B34" s="2" t="s">
        <v>739</v>
      </c>
      <c r="C34" s="2" t="s">
        <v>459</v>
      </c>
      <c r="D34" s="2" t="s">
        <v>700</v>
      </c>
      <c r="E34" s="2" t="s">
        <v>740</v>
      </c>
      <c r="F34" s="2" t="s">
        <v>458</v>
      </c>
      <c r="G34" s="2" t="s">
        <v>741</v>
      </c>
      <c r="H34" s="2" t="s">
        <v>742</v>
      </c>
      <c r="I34" s="2" t="s">
        <v>459</v>
      </c>
      <c r="J34" s="2" t="s">
        <v>458</v>
      </c>
      <c r="K34" s="2" t="s">
        <v>758</v>
      </c>
      <c r="L34" s="2" t="s">
        <v>743</v>
      </c>
      <c r="N34" s="7" t="s">
        <v>500</v>
      </c>
      <c r="O34" s="2" t="s">
        <v>458</v>
      </c>
      <c r="P34" s="2" t="s">
        <v>458</v>
      </c>
      <c r="Q34" s="2" t="s">
        <v>459</v>
      </c>
      <c r="R34" s="2" t="s">
        <v>183</v>
      </c>
      <c r="S34" s="2" t="s">
        <v>184</v>
      </c>
      <c r="T34" s="5">
        <f t="shared" ref="T34:T65" si="1">COUNTIF($S$2:$S$66,S34)</f>
        <v>2</v>
      </c>
      <c r="U34">
        <v>2010</v>
      </c>
      <c r="V34">
        <v>162</v>
      </c>
      <c r="W34">
        <v>1</v>
      </c>
      <c r="Z34">
        <v>7</v>
      </c>
      <c r="AA34">
        <v>10</v>
      </c>
      <c r="AC34" t="s">
        <v>185</v>
      </c>
      <c r="AF34">
        <v>10</v>
      </c>
      <c r="AG34">
        <v>0</v>
      </c>
      <c r="AH34">
        <v>83</v>
      </c>
      <c r="AI34">
        <v>0</v>
      </c>
      <c r="AJ34">
        <v>0</v>
      </c>
      <c r="AK34">
        <v>0</v>
      </c>
      <c r="AL34">
        <v>1</v>
      </c>
      <c r="AM34">
        <v>1</v>
      </c>
      <c r="AN34">
        <v>2</v>
      </c>
      <c r="AO34">
        <v>1</v>
      </c>
      <c r="AP34">
        <v>2</v>
      </c>
      <c r="AQ34">
        <v>1</v>
      </c>
      <c r="AR34">
        <v>1</v>
      </c>
      <c r="AS34">
        <v>0</v>
      </c>
      <c r="AT34">
        <v>1</v>
      </c>
      <c r="AU34">
        <v>0</v>
      </c>
      <c r="AV34">
        <v>0</v>
      </c>
    </row>
    <row r="35" spans="1:51" ht="408" hidden="1" customHeight="1" x14ac:dyDescent="0.2">
      <c r="A35" s="2" t="s">
        <v>186</v>
      </c>
      <c r="B35" s="2" t="s">
        <v>744</v>
      </c>
      <c r="C35" s="2" t="s">
        <v>458</v>
      </c>
      <c r="D35" s="2" t="s">
        <v>700</v>
      </c>
      <c r="E35" s="2" t="s">
        <v>745</v>
      </c>
      <c r="F35" s="2" t="s">
        <v>459</v>
      </c>
      <c r="G35" s="2" t="s">
        <v>746</v>
      </c>
      <c r="H35" s="2" t="s">
        <v>747</v>
      </c>
      <c r="I35" s="2" t="s">
        <v>459</v>
      </c>
      <c r="J35" s="2" t="s">
        <v>458</v>
      </c>
      <c r="K35" s="2" t="s">
        <v>828</v>
      </c>
      <c r="L35" s="2" t="s">
        <v>748</v>
      </c>
      <c r="N35" s="7" t="s">
        <v>501</v>
      </c>
      <c r="O35" s="2" t="s">
        <v>458</v>
      </c>
      <c r="P35" s="2" t="s">
        <v>458</v>
      </c>
      <c r="Q35" s="2" t="s">
        <v>459</v>
      </c>
      <c r="R35" s="2" t="s">
        <v>187</v>
      </c>
      <c r="S35" s="2" t="s">
        <v>188</v>
      </c>
      <c r="T35" s="5">
        <f t="shared" si="1"/>
        <v>1</v>
      </c>
      <c r="U35">
        <v>2018</v>
      </c>
      <c r="V35">
        <v>9</v>
      </c>
      <c r="Z35">
        <v>86</v>
      </c>
      <c r="AA35">
        <v>92</v>
      </c>
      <c r="AC35" t="s">
        <v>189</v>
      </c>
      <c r="AF35">
        <v>9</v>
      </c>
      <c r="AG35">
        <v>2</v>
      </c>
      <c r="AH35">
        <v>25</v>
      </c>
      <c r="AI35">
        <v>0</v>
      </c>
      <c r="AJ35">
        <v>0</v>
      </c>
      <c r="AK35">
        <v>0</v>
      </c>
      <c r="AL35">
        <v>0</v>
      </c>
      <c r="AM35">
        <v>0</v>
      </c>
      <c r="AN35">
        <v>0</v>
      </c>
      <c r="AO35">
        <v>0</v>
      </c>
      <c r="AP35">
        <v>0</v>
      </c>
      <c r="AQ35">
        <v>0</v>
      </c>
      <c r="AR35">
        <v>0</v>
      </c>
      <c r="AS35">
        <v>0</v>
      </c>
      <c r="AT35">
        <v>4</v>
      </c>
      <c r="AU35">
        <v>5</v>
      </c>
      <c r="AV35">
        <v>0</v>
      </c>
    </row>
    <row r="36" spans="1:51" ht="204" hidden="1" x14ac:dyDescent="0.2">
      <c r="A36" s="2" t="s">
        <v>190</v>
      </c>
      <c r="B36" s="2" t="s">
        <v>829</v>
      </c>
      <c r="C36" s="2" t="s">
        <v>459</v>
      </c>
      <c r="D36" s="2" t="s">
        <v>694</v>
      </c>
      <c r="E36" s="2" t="s">
        <v>782</v>
      </c>
      <c r="F36" s="2" t="s">
        <v>458</v>
      </c>
      <c r="G36" s="2" t="s">
        <v>830</v>
      </c>
      <c r="H36" s="2" t="s">
        <v>832</v>
      </c>
      <c r="I36" s="2" t="s">
        <v>459</v>
      </c>
      <c r="J36" s="2" t="s">
        <v>458</v>
      </c>
      <c r="K36" s="2" t="s">
        <v>833</v>
      </c>
      <c r="L36" s="2" t="s">
        <v>831</v>
      </c>
      <c r="N36" s="7" t="s">
        <v>502</v>
      </c>
      <c r="R36" s="2" t="s">
        <v>191</v>
      </c>
      <c r="S36" s="2" t="s">
        <v>184</v>
      </c>
      <c r="T36" s="5">
        <f t="shared" si="1"/>
        <v>2</v>
      </c>
      <c r="U36">
        <v>2015</v>
      </c>
      <c r="V36">
        <v>197</v>
      </c>
      <c r="W36">
        <v>2</v>
      </c>
      <c r="Z36">
        <v>331</v>
      </c>
      <c r="AA36">
        <v>338</v>
      </c>
      <c r="AC36" t="s">
        <v>192</v>
      </c>
      <c r="AF36">
        <v>9</v>
      </c>
      <c r="AG36">
        <v>1</v>
      </c>
      <c r="AH36">
        <v>29</v>
      </c>
      <c r="AI36">
        <v>0</v>
      </c>
      <c r="AJ36">
        <v>0</v>
      </c>
      <c r="AK36">
        <v>0</v>
      </c>
      <c r="AL36">
        <v>0</v>
      </c>
      <c r="AM36">
        <v>0</v>
      </c>
      <c r="AN36">
        <v>0</v>
      </c>
      <c r="AO36">
        <v>0</v>
      </c>
      <c r="AP36">
        <v>0</v>
      </c>
      <c r="AQ36">
        <v>3</v>
      </c>
      <c r="AR36">
        <v>0</v>
      </c>
      <c r="AS36">
        <v>0</v>
      </c>
      <c r="AT36">
        <v>2</v>
      </c>
      <c r="AU36">
        <v>4</v>
      </c>
      <c r="AV36">
        <v>0</v>
      </c>
    </row>
    <row r="37" spans="1:51" s="14" customFormat="1" ht="238" hidden="1" x14ac:dyDescent="0.2">
      <c r="A37" s="6" t="s">
        <v>197</v>
      </c>
      <c r="B37" s="6"/>
      <c r="C37" s="6"/>
      <c r="D37" s="6"/>
      <c r="E37" s="6"/>
      <c r="F37" s="6"/>
      <c r="G37" s="6"/>
      <c r="H37" s="6"/>
      <c r="I37" s="6"/>
      <c r="J37" s="6"/>
      <c r="K37" s="6"/>
      <c r="L37" s="6"/>
      <c r="M37" s="6"/>
      <c r="N37" s="13" t="s">
        <v>504</v>
      </c>
      <c r="O37" s="6" t="s">
        <v>458</v>
      </c>
      <c r="P37" s="6" t="s">
        <v>458</v>
      </c>
      <c r="Q37" s="6" t="s">
        <v>458</v>
      </c>
      <c r="R37" s="6" t="s">
        <v>198</v>
      </c>
      <c r="S37" s="6" t="s">
        <v>18</v>
      </c>
      <c r="T37" s="5">
        <f t="shared" si="1"/>
        <v>2</v>
      </c>
      <c r="U37" s="14">
        <v>2014</v>
      </c>
      <c r="V37" s="14">
        <v>45</v>
      </c>
      <c r="W37" s="14">
        <v>5</v>
      </c>
      <c r="Z37" s="14">
        <v>817</v>
      </c>
      <c r="AA37" s="14">
        <v>818</v>
      </c>
      <c r="AC37" s="14" t="s">
        <v>199</v>
      </c>
      <c r="AF37" s="14">
        <v>8</v>
      </c>
      <c r="AG37" s="14">
        <v>1</v>
      </c>
      <c r="AH37" s="14">
        <v>0</v>
      </c>
      <c r="AI37" s="14">
        <v>0</v>
      </c>
      <c r="AJ37" s="14">
        <v>0</v>
      </c>
      <c r="AK37" s="14">
        <v>0</v>
      </c>
      <c r="AL37" s="14">
        <v>0</v>
      </c>
      <c r="AM37" s="14">
        <v>0</v>
      </c>
      <c r="AN37" s="14">
        <v>1</v>
      </c>
      <c r="AO37" s="14">
        <v>0</v>
      </c>
      <c r="AP37" s="14">
        <v>2</v>
      </c>
      <c r="AQ37" s="14">
        <v>1</v>
      </c>
      <c r="AR37" s="14">
        <v>1</v>
      </c>
      <c r="AS37" s="14">
        <v>0</v>
      </c>
      <c r="AT37" s="14">
        <v>3</v>
      </c>
      <c r="AU37" s="14">
        <v>0</v>
      </c>
    </row>
    <row r="38" spans="1:51" ht="187" hidden="1" x14ac:dyDescent="0.2">
      <c r="A38" s="2" t="s">
        <v>200</v>
      </c>
      <c r="B38" s="2" t="s">
        <v>834</v>
      </c>
      <c r="C38" s="2" t="s">
        <v>459</v>
      </c>
      <c r="D38" s="2" t="s">
        <v>700</v>
      </c>
      <c r="E38" s="2" t="s">
        <v>750</v>
      </c>
      <c r="F38" s="2" t="s">
        <v>458</v>
      </c>
      <c r="G38" s="2" t="s">
        <v>758</v>
      </c>
      <c r="H38" s="2" t="s">
        <v>758</v>
      </c>
      <c r="I38" s="2" t="s">
        <v>758</v>
      </c>
      <c r="J38" s="2" t="s">
        <v>758</v>
      </c>
      <c r="K38" s="2" t="s">
        <v>758</v>
      </c>
      <c r="L38" s="2" t="s">
        <v>758</v>
      </c>
      <c r="M38" s="2" t="s">
        <v>835</v>
      </c>
      <c r="N38" s="7" t="s">
        <v>505</v>
      </c>
      <c r="O38" s="2" t="s">
        <v>506</v>
      </c>
      <c r="P38" s="2" t="s">
        <v>458</v>
      </c>
      <c r="Q38" s="2" t="s">
        <v>459</v>
      </c>
      <c r="R38" s="2" t="s">
        <v>201</v>
      </c>
      <c r="S38" s="2" t="s">
        <v>202</v>
      </c>
      <c r="T38" s="5">
        <f t="shared" si="1"/>
        <v>1</v>
      </c>
      <c r="U38">
        <v>2018</v>
      </c>
      <c r="V38">
        <v>25</v>
      </c>
      <c r="W38">
        <v>2</v>
      </c>
      <c r="Y38" t="s">
        <v>31</v>
      </c>
      <c r="Z38">
        <v>144</v>
      </c>
      <c r="AA38">
        <v>147</v>
      </c>
      <c r="AC38" t="s">
        <v>203</v>
      </c>
      <c r="AD38" t="s">
        <v>204</v>
      </c>
      <c r="AE38" t="s">
        <v>205</v>
      </c>
      <c r="AF38" t="s">
        <v>206</v>
      </c>
      <c r="AG38" s="1">
        <v>42491</v>
      </c>
      <c r="AH38">
        <v>2017</v>
      </c>
      <c r="AI38">
        <v>7</v>
      </c>
      <c r="AJ38">
        <v>1</v>
      </c>
      <c r="AK38">
        <v>75</v>
      </c>
      <c r="AL38">
        <v>0</v>
      </c>
      <c r="AM38">
        <v>0</v>
      </c>
      <c r="AN38">
        <v>0</v>
      </c>
      <c r="AO38">
        <v>0</v>
      </c>
      <c r="AP38">
        <v>0</v>
      </c>
      <c r="AQ38">
        <v>0</v>
      </c>
      <c r="AR38">
        <v>0</v>
      </c>
      <c r="AS38">
        <v>0</v>
      </c>
      <c r="AT38">
        <v>0</v>
      </c>
      <c r="AU38">
        <v>0</v>
      </c>
      <c r="AV38">
        <v>0</v>
      </c>
      <c r="AW38">
        <v>2</v>
      </c>
      <c r="AX38">
        <v>3</v>
      </c>
      <c r="AY38">
        <v>2</v>
      </c>
    </row>
    <row r="39" spans="1:51" ht="306" hidden="1" x14ac:dyDescent="0.2">
      <c r="A39" s="2" t="s">
        <v>207</v>
      </c>
      <c r="B39" s="2" t="s">
        <v>766</v>
      </c>
      <c r="C39" s="2" t="s">
        <v>459</v>
      </c>
      <c r="D39" s="2" t="s">
        <v>700</v>
      </c>
      <c r="E39" s="2" t="s">
        <v>750</v>
      </c>
      <c r="F39" s="2" t="s">
        <v>458</v>
      </c>
      <c r="G39" s="2" t="s">
        <v>836</v>
      </c>
      <c r="H39" s="2" t="s">
        <v>837</v>
      </c>
      <c r="I39" s="2" t="s">
        <v>459</v>
      </c>
      <c r="J39" s="2" t="s">
        <v>458</v>
      </c>
      <c r="K39" s="2" t="s">
        <v>839</v>
      </c>
      <c r="L39" s="2" t="s">
        <v>838</v>
      </c>
      <c r="N39" s="7" t="s">
        <v>507</v>
      </c>
      <c r="O39" s="2" t="s">
        <v>458</v>
      </c>
      <c r="P39" s="2" t="s">
        <v>459</v>
      </c>
      <c r="Q39" s="2" t="s">
        <v>458</v>
      </c>
      <c r="R39" s="2" t="s">
        <v>208</v>
      </c>
      <c r="S39" s="2" t="s">
        <v>209</v>
      </c>
      <c r="T39" s="5">
        <f t="shared" si="1"/>
        <v>1</v>
      </c>
      <c r="U39" t="s">
        <v>155</v>
      </c>
      <c r="V39">
        <v>2017</v>
      </c>
      <c r="W39">
        <v>162</v>
      </c>
      <c r="X39">
        <v>1</v>
      </c>
      <c r="AA39">
        <v>174</v>
      </c>
      <c r="AB39">
        <v>181</v>
      </c>
      <c r="AD39" t="s">
        <v>210</v>
      </c>
      <c r="AG39">
        <v>7</v>
      </c>
      <c r="AH39">
        <v>1</v>
      </c>
      <c r="AI39">
        <v>4</v>
      </c>
      <c r="AJ39">
        <v>0</v>
      </c>
      <c r="AK39">
        <v>0</v>
      </c>
      <c r="AL39">
        <v>0</v>
      </c>
      <c r="AM39">
        <v>0</v>
      </c>
      <c r="AN39">
        <v>0</v>
      </c>
      <c r="AO39">
        <v>0</v>
      </c>
      <c r="AP39">
        <v>0</v>
      </c>
      <c r="AQ39">
        <v>0</v>
      </c>
      <c r="AR39">
        <v>0</v>
      </c>
      <c r="AS39">
        <v>0</v>
      </c>
      <c r="AT39">
        <v>3</v>
      </c>
      <c r="AU39">
        <v>2</v>
      </c>
      <c r="AV39">
        <v>1</v>
      </c>
      <c r="AW39">
        <v>1</v>
      </c>
    </row>
    <row r="40" spans="1:51" ht="238" hidden="1" x14ac:dyDescent="0.2">
      <c r="A40" s="2" t="s">
        <v>215</v>
      </c>
      <c r="B40" s="2" t="s">
        <v>840</v>
      </c>
      <c r="C40" s="2" t="s">
        <v>459</v>
      </c>
      <c r="D40" s="2" t="s">
        <v>700</v>
      </c>
      <c r="E40" s="2" t="s">
        <v>842</v>
      </c>
      <c r="F40" s="2" t="s">
        <v>458</v>
      </c>
      <c r="G40" s="2" t="s">
        <v>841</v>
      </c>
      <c r="H40" s="2" t="s">
        <v>843</v>
      </c>
      <c r="I40" s="2" t="s">
        <v>459</v>
      </c>
      <c r="J40" s="2" t="s">
        <v>458</v>
      </c>
      <c r="K40" s="2" t="s">
        <v>758</v>
      </c>
      <c r="L40" s="2" t="s">
        <v>844</v>
      </c>
      <c r="N40" s="7" t="s">
        <v>508</v>
      </c>
      <c r="R40" s="2" t="s">
        <v>216</v>
      </c>
      <c r="S40" s="2" t="s">
        <v>217</v>
      </c>
      <c r="T40" s="5">
        <f t="shared" si="1"/>
        <v>2</v>
      </c>
      <c r="U40">
        <v>2016</v>
      </c>
      <c r="V40">
        <v>8</v>
      </c>
      <c r="W40">
        <v>1</v>
      </c>
      <c r="AB40" t="s">
        <v>218</v>
      </c>
      <c r="AC40" t="s">
        <v>219</v>
      </c>
      <c r="AF40">
        <v>7</v>
      </c>
      <c r="AG40">
        <v>1</v>
      </c>
      <c r="AH40">
        <v>17</v>
      </c>
      <c r="AI40">
        <v>0</v>
      </c>
      <c r="AJ40">
        <v>0</v>
      </c>
      <c r="AK40">
        <v>0</v>
      </c>
      <c r="AL40">
        <v>0</v>
      </c>
      <c r="AM40">
        <v>0</v>
      </c>
      <c r="AN40">
        <v>0</v>
      </c>
      <c r="AO40">
        <v>0</v>
      </c>
      <c r="AP40">
        <v>0</v>
      </c>
      <c r="AQ40">
        <v>0</v>
      </c>
      <c r="AR40">
        <v>1</v>
      </c>
      <c r="AS40">
        <v>3</v>
      </c>
      <c r="AT40">
        <v>1</v>
      </c>
      <c r="AU40">
        <v>2</v>
      </c>
      <c r="AV40">
        <v>0</v>
      </c>
    </row>
    <row r="41" spans="1:51" s="14" customFormat="1" ht="68" hidden="1" x14ac:dyDescent="0.2">
      <c r="A41" s="6" t="s">
        <v>220</v>
      </c>
      <c r="B41" s="6"/>
      <c r="C41" s="6"/>
      <c r="D41" s="6"/>
      <c r="E41" s="6"/>
      <c r="F41" s="6"/>
      <c r="G41" s="6"/>
      <c r="H41" s="6"/>
      <c r="I41" s="6"/>
      <c r="J41" s="6"/>
      <c r="K41" s="6"/>
      <c r="L41" s="6"/>
      <c r="M41" s="6" t="s">
        <v>845</v>
      </c>
      <c r="N41" s="15" t="s">
        <v>562</v>
      </c>
      <c r="O41" s="6"/>
      <c r="P41" s="6"/>
      <c r="Q41" s="6"/>
      <c r="R41" s="6" t="s">
        <v>221</v>
      </c>
      <c r="S41" s="6" t="s">
        <v>222</v>
      </c>
      <c r="T41" s="5">
        <f t="shared" si="1"/>
        <v>1</v>
      </c>
      <c r="U41" s="14">
        <v>2015</v>
      </c>
      <c r="V41" s="14">
        <v>10</v>
      </c>
      <c r="W41" s="14">
        <v>2</v>
      </c>
      <c r="Z41" s="14">
        <v>93</v>
      </c>
      <c r="AA41" s="14">
        <v>107</v>
      </c>
      <c r="AC41" s="14" t="s">
        <v>223</v>
      </c>
      <c r="AF41" s="14">
        <v>7</v>
      </c>
      <c r="AG41" s="14">
        <v>1</v>
      </c>
      <c r="AH41" s="14">
        <v>0</v>
      </c>
      <c r="AI41" s="14">
        <v>0</v>
      </c>
      <c r="AJ41" s="14">
        <v>0</v>
      </c>
      <c r="AK41" s="14">
        <v>0</v>
      </c>
      <c r="AL41" s="14">
        <v>0</v>
      </c>
      <c r="AM41" s="14">
        <v>0</v>
      </c>
      <c r="AN41" s="14">
        <v>0</v>
      </c>
      <c r="AO41" s="14">
        <v>0</v>
      </c>
      <c r="AP41" s="14">
        <v>0</v>
      </c>
      <c r="AQ41" s="14">
        <v>3</v>
      </c>
      <c r="AR41" s="14">
        <v>1</v>
      </c>
      <c r="AS41" s="14">
        <v>1</v>
      </c>
      <c r="AT41" s="14">
        <v>2</v>
      </c>
      <c r="AU41" s="14">
        <v>0</v>
      </c>
    </row>
    <row r="42" spans="1:51" s="40" customFormat="1" ht="409" customHeight="1" x14ac:dyDescent="0.2">
      <c r="A42" s="5" t="s">
        <v>918</v>
      </c>
      <c r="B42" s="5"/>
      <c r="C42" s="5"/>
      <c r="D42" s="5"/>
      <c r="E42" s="5"/>
      <c r="F42" s="5"/>
      <c r="G42" s="5"/>
      <c r="H42" s="5"/>
      <c r="I42" s="5"/>
      <c r="J42" s="5"/>
      <c r="K42" s="5"/>
      <c r="L42" s="5"/>
      <c r="M42" s="5"/>
      <c r="N42" s="9" t="s">
        <v>933</v>
      </c>
      <c r="O42" s="5" t="s">
        <v>458</v>
      </c>
      <c r="P42" s="5" t="s">
        <v>458</v>
      </c>
      <c r="Q42" s="5" t="s">
        <v>458</v>
      </c>
      <c r="R42" s="5" t="s">
        <v>227</v>
      </c>
      <c r="S42" s="5" t="s">
        <v>228</v>
      </c>
      <c r="T42" s="5">
        <f t="shared" si="1"/>
        <v>1</v>
      </c>
      <c r="U42" s="40" t="s">
        <v>229</v>
      </c>
      <c r="V42" s="40">
        <v>2018</v>
      </c>
      <c r="W42" s="40">
        <v>115</v>
      </c>
      <c r="X42" s="40">
        <v>5</v>
      </c>
      <c r="AA42" s="40">
        <v>447</v>
      </c>
      <c r="AB42" s="40">
        <v>450</v>
      </c>
      <c r="AG42" s="40">
        <v>6</v>
      </c>
      <c r="AH42" s="40">
        <v>1</v>
      </c>
      <c r="AI42" s="40">
        <v>5</v>
      </c>
      <c r="AJ42" s="40">
        <v>0</v>
      </c>
      <c r="AK42" s="40">
        <v>0</v>
      </c>
      <c r="AL42" s="40">
        <v>0</v>
      </c>
      <c r="AM42" s="40">
        <v>0</v>
      </c>
      <c r="AN42" s="40">
        <v>0</v>
      </c>
      <c r="AO42" s="40">
        <v>0</v>
      </c>
      <c r="AP42" s="40">
        <v>0</v>
      </c>
      <c r="AQ42" s="40">
        <v>0</v>
      </c>
      <c r="AR42" s="40">
        <v>0</v>
      </c>
      <c r="AS42" s="40">
        <v>0</v>
      </c>
      <c r="AT42" s="40">
        <v>0</v>
      </c>
      <c r="AU42" s="40">
        <v>2</v>
      </c>
      <c r="AV42" s="40">
        <v>2</v>
      </c>
      <c r="AW42" s="40">
        <v>2</v>
      </c>
    </row>
    <row r="43" spans="1:51" ht="272" hidden="1" x14ac:dyDescent="0.2">
      <c r="A43" s="2" t="s">
        <v>230</v>
      </c>
      <c r="B43" s="2" t="s">
        <v>846</v>
      </c>
      <c r="C43" s="2" t="s">
        <v>459</v>
      </c>
      <c r="D43" s="2" t="s">
        <v>700</v>
      </c>
      <c r="E43" s="2" t="s">
        <v>820</v>
      </c>
      <c r="F43" s="2" t="s">
        <v>458</v>
      </c>
      <c r="G43" s="2" t="s">
        <v>848</v>
      </c>
      <c r="H43" s="2" t="s">
        <v>847</v>
      </c>
      <c r="I43" s="2" t="s">
        <v>459</v>
      </c>
      <c r="J43" s="2" t="s">
        <v>459</v>
      </c>
      <c r="K43" s="2" t="s">
        <v>758</v>
      </c>
      <c r="L43" s="2" t="s">
        <v>849</v>
      </c>
      <c r="N43" s="7" t="s">
        <v>556</v>
      </c>
      <c r="O43" s="2" t="s">
        <v>458</v>
      </c>
      <c r="P43" s="2" t="s">
        <v>459</v>
      </c>
      <c r="Q43" s="2" t="s">
        <v>458</v>
      </c>
      <c r="R43" s="2" t="s">
        <v>231</v>
      </c>
      <c r="S43" s="2" t="s">
        <v>45</v>
      </c>
      <c r="T43" s="5">
        <f t="shared" si="1"/>
        <v>5</v>
      </c>
      <c r="U43">
        <v>2018</v>
      </c>
      <c r="V43">
        <v>75</v>
      </c>
      <c r="W43">
        <v>4</v>
      </c>
      <c r="Z43">
        <v>978</v>
      </c>
      <c r="AA43">
        <v>983</v>
      </c>
      <c r="AC43" t="s">
        <v>232</v>
      </c>
      <c r="AF43">
        <v>6</v>
      </c>
      <c r="AG43">
        <v>1</v>
      </c>
      <c r="AH43">
        <v>5</v>
      </c>
      <c r="AI43">
        <v>0</v>
      </c>
      <c r="AJ43">
        <v>0</v>
      </c>
      <c r="AK43">
        <v>0</v>
      </c>
      <c r="AL43">
        <v>0</v>
      </c>
      <c r="AM43">
        <v>0</v>
      </c>
      <c r="AN43">
        <v>0</v>
      </c>
      <c r="AO43">
        <v>0</v>
      </c>
      <c r="AP43">
        <v>0</v>
      </c>
      <c r="AQ43">
        <v>0</v>
      </c>
      <c r="AR43">
        <v>0</v>
      </c>
      <c r="AS43">
        <v>0</v>
      </c>
      <c r="AT43">
        <v>4</v>
      </c>
      <c r="AU43">
        <v>0</v>
      </c>
      <c r="AV43">
        <v>2</v>
      </c>
    </row>
    <row r="44" spans="1:51" ht="255" hidden="1" x14ac:dyDescent="0.2">
      <c r="A44" s="2" t="s">
        <v>240</v>
      </c>
      <c r="B44" s="2" t="s">
        <v>766</v>
      </c>
      <c r="C44" s="2" t="s">
        <v>459</v>
      </c>
      <c r="D44" s="2" t="s">
        <v>700</v>
      </c>
      <c r="E44" s="2" t="s">
        <v>852</v>
      </c>
      <c r="F44" s="2" t="s">
        <v>852</v>
      </c>
      <c r="G44" s="2" t="s">
        <v>853</v>
      </c>
      <c r="H44" s="2" t="s">
        <v>851</v>
      </c>
      <c r="I44" s="2" t="s">
        <v>459</v>
      </c>
      <c r="J44" s="2" t="s">
        <v>458</v>
      </c>
      <c r="K44" s="2" t="s">
        <v>758</v>
      </c>
      <c r="L44" s="2" t="s">
        <v>850</v>
      </c>
      <c r="N44" s="7" t="s">
        <v>559</v>
      </c>
      <c r="R44" s="2" t="s">
        <v>241</v>
      </c>
      <c r="S44" s="2" t="s">
        <v>242</v>
      </c>
      <c r="T44" s="5">
        <f t="shared" si="1"/>
        <v>1</v>
      </c>
      <c r="U44">
        <v>2016</v>
      </c>
      <c r="V44">
        <v>82</v>
      </c>
      <c r="W44">
        <v>3</v>
      </c>
      <c r="Z44">
        <v>212</v>
      </c>
      <c r="AA44">
        <v>215</v>
      </c>
      <c r="AF44">
        <v>6</v>
      </c>
      <c r="AG44">
        <v>1</v>
      </c>
      <c r="AH44">
        <v>0</v>
      </c>
      <c r="AI44">
        <v>0</v>
      </c>
      <c r="AJ44">
        <v>0</v>
      </c>
      <c r="AK44">
        <v>0</v>
      </c>
      <c r="AL44">
        <v>0</v>
      </c>
      <c r="AM44">
        <v>0</v>
      </c>
      <c r="AN44">
        <v>0</v>
      </c>
      <c r="AO44">
        <v>0</v>
      </c>
      <c r="AP44">
        <v>0</v>
      </c>
      <c r="AQ44">
        <v>2</v>
      </c>
      <c r="AR44">
        <v>0</v>
      </c>
      <c r="AS44">
        <v>2</v>
      </c>
      <c r="AT44">
        <v>2</v>
      </c>
      <c r="AU44">
        <v>0</v>
      </c>
    </row>
    <row r="45" spans="1:51" ht="102" hidden="1" x14ac:dyDescent="0.2">
      <c r="A45" s="2" t="s">
        <v>261</v>
      </c>
      <c r="B45" s="2" t="s">
        <v>766</v>
      </c>
      <c r="C45" s="2" t="s">
        <v>459</v>
      </c>
      <c r="D45" s="2" t="s">
        <v>700</v>
      </c>
      <c r="E45" s="2" t="s">
        <v>855</v>
      </c>
      <c r="F45" s="2" t="s">
        <v>458</v>
      </c>
      <c r="G45" s="2" t="s">
        <v>856</v>
      </c>
      <c r="H45" s="2" t="s">
        <v>854</v>
      </c>
      <c r="I45" s="2" t="s">
        <v>459</v>
      </c>
      <c r="J45" s="2" t="s">
        <v>458</v>
      </c>
      <c r="K45" s="2" t="s">
        <v>758</v>
      </c>
      <c r="L45" s="2" t="s">
        <v>857</v>
      </c>
      <c r="M45" s="35" t="s">
        <v>858</v>
      </c>
      <c r="N45" s="7" t="s">
        <v>567</v>
      </c>
      <c r="O45" s="2" t="s">
        <v>566</v>
      </c>
      <c r="P45" s="2" t="s">
        <v>458</v>
      </c>
      <c r="Q45" s="2" t="s">
        <v>459</v>
      </c>
      <c r="R45" s="2" t="s">
        <v>262</v>
      </c>
      <c r="S45" s="2" t="s">
        <v>263</v>
      </c>
      <c r="T45" s="5">
        <f t="shared" si="1"/>
        <v>1</v>
      </c>
      <c r="U45">
        <v>2017</v>
      </c>
      <c r="V45">
        <v>8</v>
      </c>
      <c r="Z45">
        <v>481</v>
      </c>
      <c r="AA45">
        <v>486</v>
      </c>
      <c r="AC45" t="s">
        <v>264</v>
      </c>
      <c r="AF45">
        <v>5</v>
      </c>
      <c r="AG45">
        <v>1</v>
      </c>
      <c r="AH45">
        <v>0</v>
      </c>
      <c r="AI45">
        <v>0</v>
      </c>
      <c r="AJ45">
        <v>0</v>
      </c>
      <c r="AK45">
        <v>0</v>
      </c>
      <c r="AL45">
        <v>0</v>
      </c>
      <c r="AM45">
        <v>0</v>
      </c>
      <c r="AN45">
        <v>0</v>
      </c>
      <c r="AO45">
        <v>0</v>
      </c>
      <c r="AP45">
        <v>0</v>
      </c>
      <c r="AQ45">
        <v>1</v>
      </c>
      <c r="AR45">
        <v>1</v>
      </c>
      <c r="AS45">
        <v>1</v>
      </c>
      <c r="AT45">
        <v>2</v>
      </c>
      <c r="AU45">
        <v>0</v>
      </c>
    </row>
    <row r="46" spans="1:51" s="14" customFormat="1" ht="408" hidden="1" customHeight="1" x14ac:dyDescent="0.2">
      <c r="A46" s="6" t="s">
        <v>265</v>
      </c>
      <c r="B46" s="6" t="s">
        <v>749</v>
      </c>
      <c r="C46" s="6" t="s">
        <v>459</v>
      </c>
      <c r="D46" s="6" t="s">
        <v>694</v>
      </c>
      <c r="E46" s="6" t="s">
        <v>750</v>
      </c>
      <c r="F46" s="6" t="s">
        <v>458</v>
      </c>
      <c r="G46" s="6" t="s">
        <v>751</v>
      </c>
      <c r="H46" s="6" t="s">
        <v>752</v>
      </c>
      <c r="I46" s="6" t="s">
        <v>459</v>
      </c>
      <c r="J46" s="6" t="s">
        <v>459</v>
      </c>
      <c r="K46" s="6" t="s">
        <v>758</v>
      </c>
      <c r="L46" s="6" t="s">
        <v>859</v>
      </c>
      <c r="M46" s="6"/>
      <c r="N46" s="13" t="s">
        <v>568</v>
      </c>
      <c r="O46" s="6" t="s">
        <v>458</v>
      </c>
      <c r="P46" s="6" t="s">
        <v>458</v>
      </c>
      <c r="Q46" s="6" t="s">
        <v>459</v>
      </c>
      <c r="R46" s="6" t="s">
        <v>266</v>
      </c>
      <c r="S46" s="6" t="s">
        <v>267</v>
      </c>
      <c r="T46" s="6">
        <f t="shared" si="1"/>
        <v>1</v>
      </c>
      <c r="U46" s="14">
        <v>2016</v>
      </c>
      <c r="V46" s="14">
        <v>2016</v>
      </c>
      <c r="AB46" s="14" t="s">
        <v>268</v>
      </c>
      <c r="AC46" s="14" t="s">
        <v>269</v>
      </c>
      <c r="AF46" s="14">
        <v>5</v>
      </c>
      <c r="AG46" s="14">
        <v>0</v>
      </c>
      <c r="AH46" s="14">
        <v>83</v>
      </c>
      <c r="AI46" s="14">
        <v>0</v>
      </c>
      <c r="AJ46" s="14">
        <v>0</v>
      </c>
      <c r="AK46" s="14">
        <v>0</v>
      </c>
      <c r="AL46" s="14">
        <v>0</v>
      </c>
      <c r="AM46" s="14">
        <v>0</v>
      </c>
      <c r="AN46" s="14">
        <v>0</v>
      </c>
      <c r="AO46" s="14">
        <v>0</v>
      </c>
      <c r="AP46" s="14">
        <v>0</v>
      </c>
      <c r="AQ46" s="14">
        <v>0</v>
      </c>
      <c r="AR46" s="14">
        <v>1</v>
      </c>
      <c r="AS46" s="14">
        <v>1</v>
      </c>
      <c r="AT46" s="14">
        <v>2</v>
      </c>
      <c r="AU46" s="14">
        <v>1</v>
      </c>
      <c r="AV46" s="14">
        <v>0</v>
      </c>
    </row>
    <row r="47" spans="1:51" ht="187" hidden="1" x14ac:dyDescent="0.2">
      <c r="A47" s="2" t="s">
        <v>273</v>
      </c>
      <c r="B47" s="2" t="s">
        <v>860</v>
      </c>
      <c r="C47" s="2" t="s">
        <v>459</v>
      </c>
      <c r="D47" s="2" t="s">
        <v>711</v>
      </c>
      <c r="E47" s="2" t="s">
        <v>772</v>
      </c>
      <c r="F47" s="2" t="s">
        <v>459</v>
      </c>
      <c r="G47" s="2" t="s">
        <v>758</v>
      </c>
      <c r="H47" s="2" t="s">
        <v>758</v>
      </c>
      <c r="I47" s="2" t="s">
        <v>758</v>
      </c>
      <c r="J47" s="2" t="s">
        <v>758</v>
      </c>
      <c r="K47" s="2" t="s">
        <v>758</v>
      </c>
      <c r="L47" s="2" t="s">
        <v>758</v>
      </c>
      <c r="M47" s="2" t="s">
        <v>861</v>
      </c>
      <c r="N47" s="18" t="s">
        <v>591</v>
      </c>
      <c r="R47" s="2" t="s">
        <v>274</v>
      </c>
      <c r="S47" s="2" t="s">
        <v>275</v>
      </c>
      <c r="T47" s="5">
        <f t="shared" si="1"/>
        <v>1</v>
      </c>
      <c r="U47">
        <v>2011</v>
      </c>
      <c r="V47">
        <v>163</v>
      </c>
      <c r="Z47">
        <v>650</v>
      </c>
      <c r="AA47">
        <v>652</v>
      </c>
      <c r="AC47" t="s">
        <v>276</v>
      </c>
      <c r="AD47" t="s">
        <v>277</v>
      </c>
      <c r="AE47" t="s">
        <v>278</v>
      </c>
      <c r="AF47">
        <v>2011</v>
      </c>
      <c r="AG47">
        <v>5</v>
      </c>
      <c r="AH47">
        <v>0</v>
      </c>
      <c r="AI47">
        <v>45</v>
      </c>
      <c r="AJ47">
        <v>0</v>
      </c>
      <c r="AK47">
        <v>0</v>
      </c>
      <c r="AL47">
        <v>0</v>
      </c>
      <c r="AM47">
        <v>1</v>
      </c>
      <c r="AN47">
        <v>2</v>
      </c>
      <c r="AO47">
        <v>1</v>
      </c>
      <c r="AP47">
        <v>0</v>
      </c>
      <c r="AQ47">
        <v>1</v>
      </c>
      <c r="AR47">
        <v>0</v>
      </c>
      <c r="AS47">
        <v>0</v>
      </c>
      <c r="AT47">
        <v>0</v>
      </c>
      <c r="AU47">
        <v>0</v>
      </c>
      <c r="AV47">
        <v>0</v>
      </c>
      <c r="AW47">
        <v>0</v>
      </c>
    </row>
    <row r="48" spans="1:51" s="40" customFormat="1" ht="170" x14ac:dyDescent="0.2">
      <c r="A48" s="5" t="s">
        <v>919</v>
      </c>
      <c r="B48" s="5"/>
      <c r="C48" s="5"/>
      <c r="D48" s="5"/>
      <c r="E48" s="5"/>
      <c r="F48" s="5"/>
      <c r="G48" s="5"/>
      <c r="H48" s="5"/>
      <c r="I48" s="5"/>
      <c r="J48" s="5"/>
      <c r="K48" s="5"/>
      <c r="L48" s="5"/>
      <c r="M48" s="5"/>
      <c r="N48" s="9" t="s">
        <v>925</v>
      </c>
      <c r="O48" s="5" t="s">
        <v>571</v>
      </c>
      <c r="P48" s="5" t="s">
        <v>458</v>
      </c>
      <c r="Q48" s="5" t="s">
        <v>458</v>
      </c>
      <c r="R48" s="5" t="s">
        <v>279</v>
      </c>
      <c r="S48" s="5" t="s">
        <v>280</v>
      </c>
      <c r="T48" s="5">
        <f t="shared" si="1"/>
        <v>1</v>
      </c>
      <c r="U48" s="40">
        <v>2010</v>
      </c>
      <c r="V48" s="40">
        <v>41</v>
      </c>
      <c r="W48" s="40">
        <v>4</v>
      </c>
      <c r="Z48" s="40">
        <v>196</v>
      </c>
      <c r="AA48" s="40">
        <v>200</v>
      </c>
      <c r="AC48" s="40" t="s">
        <v>281</v>
      </c>
      <c r="AF48" s="40">
        <v>5</v>
      </c>
      <c r="AG48" s="40">
        <v>0</v>
      </c>
      <c r="AH48" s="40">
        <v>42</v>
      </c>
      <c r="AI48" s="40">
        <v>0</v>
      </c>
      <c r="AJ48" s="40">
        <v>0</v>
      </c>
      <c r="AK48" s="40">
        <v>0</v>
      </c>
      <c r="AL48" s="40">
        <v>0</v>
      </c>
      <c r="AM48" s="40">
        <v>0</v>
      </c>
      <c r="AN48" s="40">
        <v>0</v>
      </c>
      <c r="AO48" s="40">
        <v>0</v>
      </c>
      <c r="AP48" s="40">
        <v>1</v>
      </c>
      <c r="AQ48" s="40">
        <v>0</v>
      </c>
      <c r="AR48" s="40">
        <v>0</v>
      </c>
      <c r="AS48" s="40">
        <v>1</v>
      </c>
      <c r="AT48" s="40">
        <v>2</v>
      </c>
      <c r="AU48" s="40">
        <v>0</v>
      </c>
      <c r="AV48" s="40">
        <v>1</v>
      </c>
    </row>
    <row r="49" spans="1:157" s="12" customFormat="1" ht="388" hidden="1" x14ac:dyDescent="0.2">
      <c r="A49" s="10" t="s">
        <v>282</v>
      </c>
      <c r="B49" s="10" t="s">
        <v>863</v>
      </c>
      <c r="C49" s="10" t="s">
        <v>458</v>
      </c>
      <c r="D49" s="10"/>
      <c r="E49" s="10" t="s">
        <v>862</v>
      </c>
      <c r="F49" s="10" t="s">
        <v>459</v>
      </c>
      <c r="G49" s="10" t="s">
        <v>865</v>
      </c>
      <c r="H49" s="10" t="s">
        <v>864</v>
      </c>
      <c r="I49" s="10" t="s">
        <v>459</v>
      </c>
      <c r="J49" s="10" t="s">
        <v>458</v>
      </c>
      <c r="K49" s="10" t="s">
        <v>758</v>
      </c>
      <c r="L49" s="10" t="s">
        <v>867</v>
      </c>
      <c r="M49" s="10" t="s">
        <v>866</v>
      </c>
      <c r="N49" s="11" t="s">
        <v>572</v>
      </c>
      <c r="O49" s="10" t="s">
        <v>458</v>
      </c>
      <c r="P49" s="10" t="s">
        <v>458</v>
      </c>
      <c r="Q49" s="10" t="s">
        <v>459</v>
      </c>
      <c r="R49" s="10" t="s">
        <v>283</v>
      </c>
      <c r="S49" s="10" t="s">
        <v>573</v>
      </c>
      <c r="T49" s="5">
        <f t="shared" si="1"/>
        <v>1</v>
      </c>
      <c r="U49" s="12">
        <v>2018</v>
      </c>
      <c r="V49" s="12">
        <v>75</v>
      </c>
      <c r="W49" s="12">
        <v>3</v>
      </c>
      <c r="Z49" s="12">
        <v>779</v>
      </c>
      <c r="AA49" s="12">
        <v>786</v>
      </c>
      <c r="AC49" s="12" t="s">
        <v>284</v>
      </c>
      <c r="AF49" s="12">
        <v>4</v>
      </c>
      <c r="AG49" s="12">
        <v>1</v>
      </c>
      <c r="AH49" s="12">
        <v>0</v>
      </c>
      <c r="AI49" s="12">
        <v>0</v>
      </c>
      <c r="AJ49" s="12">
        <v>0</v>
      </c>
      <c r="AK49" s="12">
        <v>0</v>
      </c>
      <c r="AL49" s="12">
        <v>0</v>
      </c>
      <c r="AM49" s="12">
        <v>0</v>
      </c>
      <c r="AN49" s="12">
        <v>0</v>
      </c>
      <c r="AO49" s="12">
        <v>0</v>
      </c>
      <c r="AP49" s="12">
        <v>0</v>
      </c>
      <c r="AQ49" s="12">
        <v>0</v>
      </c>
      <c r="AR49" s="12">
        <v>0</v>
      </c>
      <c r="AS49" s="12">
        <v>4</v>
      </c>
      <c r="AT49" s="12">
        <v>0</v>
      </c>
      <c r="AU49" s="12">
        <v>0</v>
      </c>
    </row>
    <row r="50" spans="1:157" s="30" customFormat="1" ht="404" x14ac:dyDescent="0.2">
      <c r="A50" s="28" t="s">
        <v>937</v>
      </c>
      <c r="B50" s="28" t="s">
        <v>840</v>
      </c>
      <c r="C50" s="28" t="s">
        <v>459</v>
      </c>
      <c r="D50" s="28" t="s">
        <v>700</v>
      </c>
      <c r="E50" s="28" t="s">
        <v>852</v>
      </c>
      <c r="F50" s="28" t="s">
        <v>852</v>
      </c>
      <c r="G50" s="28" t="s">
        <v>868</v>
      </c>
      <c r="H50" s="28" t="s">
        <v>869</v>
      </c>
      <c r="I50" s="28" t="s">
        <v>459</v>
      </c>
      <c r="J50" s="28" t="s">
        <v>458</v>
      </c>
      <c r="K50" s="28" t="s">
        <v>758</v>
      </c>
      <c r="L50" s="28" t="s">
        <v>870</v>
      </c>
      <c r="M50" s="28"/>
      <c r="N50" s="29" t="s">
        <v>575</v>
      </c>
      <c r="O50" s="28" t="s">
        <v>458</v>
      </c>
      <c r="P50" s="28" t="s">
        <v>458</v>
      </c>
      <c r="Q50" s="28" t="s">
        <v>459</v>
      </c>
      <c r="R50" s="28" t="s">
        <v>290</v>
      </c>
      <c r="S50" s="28" t="s">
        <v>291</v>
      </c>
      <c r="T50" s="5">
        <f t="shared" si="1"/>
        <v>1</v>
      </c>
      <c r="U50" s="30">
        <v>2013</v>
      </c>
      <c r="V50" s="30">
        <v>16</v>
      </c>
      <c r="W50" s="30">
        <v>3</v>
      </c>
      <c r="Z50" s="30">
        <v>145</v>
      </c>
      <c r="AA50" s="30">
        <v>8</v>
      </c>
      <c r="AF50" s="30">
        <v>4</v>
      </c>
      <c r="AG50" s="30">
        <v>0</v>
      </c>
      <c r="AH50" s="30">
        <v>44</v>
      </c>
      <c r="AI50" s="30">
        <v>0</v>
      </c>
      <c r="AJ50" s="30">
        <v>0</v>
      </c>
      <c r="AK50" s="30">
        <v>0</v>
      </c>
      <c r="AL50" s="30">
        <v>0</v>
      </c>
      <c r="AM50" s="30">
        <v>0</v>
      </c>
      <c r="AN50" s="30">
        <v>1</v>
      </c>
      <c r="AO50" s="30">
        <v>0</v>
      </c>
      <c r="AP50" s="30">
        <v>1</v>
      </c>
      <c r="AQ50" s="30">
        <v>1</v>
      </c>
      <c r="AR50" s="30">
        <v>0</v>
      </c>
      <c r="AS50" s="30">
        <v>0</v>
      </c>
      <c r="AT50" s="30">
        <v>0</v>
      </c>
      <c r="AU50" s="30">
        <v>1</v>
      </c>
      <c r="AV50" s="30">
        <v>0</v>
      </c>
    </row>
    <row r="51" spans="1:157" ht="288" hidden="1" customHeight="1" x14ac:dyDescent="0.2">
      <c r="A51" s="2" t="s">
        <v>578</v>
      </c>
      <c r="B51" s="2" t="s">
        <v>873</v>
      </c>
      <c r="C51" s="2" t="s">
        <v>458</v>
      </c>
      <c r="D51" s="2" t="s">
        <v>700</v>
      </c>
      <c r="E51" s="2" t="s">
        <v>782</v>
      </c>
      <c r="F51" s="2" t="s">
        <v>458</v>
      </c>
      <c r="G51" s="2" t="s">
        <v>871</v>
      </c>
      <c r="H51" s="2" t="s">
        <v>872</v>
      </c>
      <c r="I51" s="2" t="s">
        <v>459</v>
      </c>
      <c r="J51" s="2" t="s">
        <v>458</v>
      </c>
      <c r="K51" s="2" t="s">
        <v>758</v>
      </c>
      <c r="L51" s="2" t="s">
        <v>874</v>
      </c>
      <c r="N51" s="7" t="s">
        <v>579</v>
      </c>
      <c r="O51" s="2" t="s">
        <v>458</v>
      </c>
      <c r="P51" s="2" t="s">
        <v>458</v>
      </c>
      <c r="Q51" s="2" t="s">
        <v>459</v>
      </c>
      <c r="R51" s="2" t="s">
        <v>299</v>
      </c>
      <c r="S51" s="2" t="s">
        <v>300</v>
      </c>
      <c r="T51" s="5">
        <f t="shared" si="1"/>
        <v>1</v>
      </c>
      <c r="U51" t="s">
        <v>301</v>
      </c>
      <c r="V51">
        <v>2015</v>
      </c>
      <c r="W51">
        <v>34</v>
      </c>
      <c r="X51">
        <v>6</v>
      </c>
      <c r="AA51">
        <v>339</v>
      </c>
      <c r="AB51">
        <v>344</v>
      </c>
      <c r="AD51" t="s">
        <v>302</v>
      </c>
      <c r="AG51">
        <v>3</v>
      </c>
      <c r="AH51">
        <v>0</v>
      </c>
      <c r="AI51">
        <v>43</v>
      </c>
      <c r="AJ51">
        <v>0</v>
      </c>
      <c r="AK51">
        <v>0</v>
      </c>
      <c r="AL51">
        <v>0</v>
      </c>
      <c r="AM51">
        <v>0</v>
      </c>
      <c r="AN51">
        <v>0</v>
      </c>
      <c r="AO51">
        <v>0</v>
      </c>
      <c r="AP51">
        <v>0</v>
      </c>
      <c r="AQ51">
        <v>0</v>
      </c>
      <c r="AR51">
        <v>0</v>
      </c>
      <c r="AS51">
        <v>1</v>
      </c>
      <c r="AT51">
        <v>0</v>
      </c>
      <c r="AU51">
        <v>0</v>
      </c>
      <c r="AV51">
        <v>2</v>
      </c>
      <c r="AW51">
        <v>0</v>
      </c>
    </row>
    <row r="52" spans="1:157" ht="238" hidden="1" x14ac:dyDescent="0.2">
      <c r="A52" s="2" t="s">
        <v>311</v>
      </c>
      <c r="B52" s="2" t="s">
        <v>840</v>
      </c>
      <c r="C52" s="2" t="s">
        <v>459</v>
      </c>
      <c r="D52" s="2" t="s">
        <v>700</v>
      </c>
      <c r="E52" s="2" t="s">
        <v>878</v>
      </c>
      <c r="F52" s="2" t="s">
        <v>852</v>
      </c>
      <c r="G52" s="2" t="s">
        <v>876</v>
      </c>
      <c r="H52" s="2" t="s">
        <v>875</v>
      </c>
      <c r="I52" s="2" t="s">
        <v>459</v>
      </c>
      <c r="J52" s="2" t="s">
        <v>458</v>
      </c>
      <c r="K52" s="2" t="s">
        <v>758</v>
      </c>
      <c r="L52" s="2" t="s">
        <v>877</v>
      </c>
      <c r="N52" s="7" t="s">
        <v>582</v>
      </c>
      <c r="O52" s="2" t="s">
        <v>458</v>
      </c>
      <c r="P52" s="2" t="s">
        <v>458</v>
      </c>
      <c r="Q52" s="2" t="s">
        <v>459</v>
      </c>
      <c r="R52" s="2" t="s">
        <v>312</v>
      </c>
      <c r="S52" s="2" t="s">
        <v>313</v>
      </c>
      <c r="T52" s="5">
        <f t="shared" si="1"/>
        <v>1</v>
      </c>
      <c r="U52">
        <v>2016</v>
      </c>
      <c r="V52">
        <v>54</v>
      </c>
      <c r="W52">
        <v>9</v>
      </c>
      <c r="Z52">
        <v>600</v>
      </c>
      <c r="AA52">
        <v>604</v>
      </c>
      <c r="AF52">
        <v>2</v>
      </c>
      <c r="AG52">
        <v>0</v>
      </c>
      <c r="AH52">
        <v>33</v>
      </c>
      <c r="AI52">
        <v>0</v>
      </c>
      <c r="AJ52">
        <v>0</v>
      </c>
      <c r="AK52">
        <v>0</v>
      </c>
      <c r="AL52">
        <v>0</v>
      </c>
      <c r="AM52">
        <v>0</v>
      </c>
      <c r="AN52">
        <v>0</v>
      </c>
      <c r="AO52">
        <v>0</v>
      </c>
      <c r="AP52">
        <v>0</v>
      </c>
      <c r="AQ52">
        <v>0</v>
      </c>
      <c r="AR52">
        <v>0</v>
      </c>
      <c r="AS52">
        <v>0</v>
      </c>
      <c r="AT52">
        <v>2</v>
      </c>
      <c r="AU52">
        <v>0</v>
      </c>
      <c r="AV52">
        <v>0</v>
      </c>
    </row>
    <row r="53" spans="1:157" s="14" customFormat="1" ht="388" hidden="1" x14ac:dyDescent="0.2">
      <c r="A53" s="6" t="s">
        <v>321</v>
      </c>
      <c r="B53" s="6"/>
      <c r="C53" s="6"/>
      <c r="D53" s="6"/>
      <c r="E53" s="6"/>
      <c r="F53" s="6"/>
      <c r="G53" s="6"/>
      <c r="H53" s="6"/>
      <c r="I53" s="6"/>
      <c r="J53" s="6"/>
      <c r="K53" s="6"/>
      <c r="L53" s="6"/>
      <c r="M53" s="6"/>
      <c r="N53" s="13" t="s">
        <v>584</v>
      </c>
      <c r="O53" s="6" t="s">
        <v>458</v>
      </c>
      <c r="P53" s="6" t="s">
        <v>458</v>
      </c>
      <c r="Q53" s="6" t="s">
        <v>459</v>
      </c>
      <c r="R53" s="6" t="s">
        <v>322</v>
      </c>
      <c r="S53" s="6" t="s">
        <v>323</v>
      </c>
      <c r="T53" s="5">
        <f t="shared" si="1"/>
        <v>1</v>
      </c>
      <c r="U53" s="14">
        <v>2011</v>
      </c>
      <c r="V53" s="14">
        <v>110</v>
      </c>
      <c r="W53" s="14">
        <v>5</v>
      </c>
      <c r="Z53" s="14">
        <v>234</v>
      </c>
      <c r="AA53" s="14">
        <v>9</v>
      </c>
      <c r="AF53" s="14">
        <v>2</v>
      </c>
      <c r="AG53" s="14">
        <v>0</v>
      </c>
      <c r="AH53" s="14">
        <v>18</v>
      </c>
      <c r="AI53" s="14">
        <v>0</v>
      </c>
      <c r="AJ53" s="14">
        <v>0</v>
      </c>
      <c r="AK53" s="14">
        <v>0</v>
      </c>
      <c r="AL53" s="14">
        <v>0</v>
      </c>
      <c r="AM53" s="14">
        <v>0</v>
      </c>
      <c r="AN53" s="14">
        <v>0</v>
      </c>
      <c r="AO53" s="14">
        <v>1</v>
      </c>
      <c r="AP53" s="14">
        <v>0</v>
      </c>
      <c r="AQ53" s="14">
        <v>0</v>
      </c>
      <c r="AR53" s="14">
        <v>0</v>
      </c>
      <c r="AS53" s="14">
        <v>0</v>
      </c>
      <c r="AT53" s="14">
        <v>1</v>
      </c>
      <c r="AU53" s="14">
        <v>0</v>
      </c>
      <c r="AV53" s="14">
        <v>0</v>
      </c>
    </row>
    <row r="54" spans="1:157" s="14" customFormat="1" ht="238" hidden="1" x14ac:dyDescent="0.2">
      <c r="A54" s="6" t="s">
        <v>324</v>
      </c>
      <c r="B54" s="6"/>
      <c r="C54" s="6"/>
      <c r="D54" s="6"/>
      <c r="E54" s="6"/>
      <c r="F54" s="6"/>
      <c r="G54" s="6"/>
      <c r="H54" s="6"/>
      <c r="I54" s="6"/>
      <c r="J54" s="6"/>
      <c r="K54" s="6"/>
      <c r="L54" s="6"/>
      <c r="M54" s="6"/>
      <c r="N54" s="13" t="s">
        <v>585</v>
      </c>
      <c r="O54" s="6" t="s">
        <v>458</v>
      </c>
      <c r="P54" s="6" t="s">
        <v>458</v>
      </c>
      <c r="Q54" s="6" t="s">
        <v>459</v>
      </c>
      <c r="R54" s="6" t="s">
        <v>325</v>
      </c>
      <c r="S54" s="6" t="s">
        <v>217</v>
      </c>
      <c r="T54" s="5">
        <f t="shared" si="1"/>
        <v>2</v>
      </c>
      <c r="U54" s="14">
        <v>2020</v>
      </c>
      <c r="V54" s="14">
        <v>12</v>
      </c>
      <c r="W54" s="14">
        <v>5</v>
      </c>
      <c r="AB54" s="14" t="s">
        <v>326</v>
      </c>
      <c r="AC54" s="14" t="s">
        <v>327</v>
      </c>
      <c r="AF54" s="14">
        <v>1</v>
      </c>
      <c r="AG54" s="14">
        <v>0</v>
      </c>
      <c r="AH54" s="14">
        <v>5</v>
      </c>
      <c r="AI54" s="14">
        <v>0</v>
      </c>
      <c r="AJ54" s="14">
        <v>0</v>
      </c>
      <c r="AK54" s="14">
        <v>0</v>
      </c>
      <c r="AL54" s="14">
        <v>0</v>
      </c>
      <c r="AM54" s="14">
        <v>0</v>
      </c>
      <c r="AN54" s="14">
        <v>0</v>
      </c>
      <c r="AO54" s="14">
        <v>0</v>
      </c>
      <c r="AP54" s="14">
        <v>0</v>
      </c>
      <c r="AQ54" s="14">
        <v>0</v>
      </c>
      <c r="AR54" s="14">
        <v>0</v>
      </c>
      <c r="AS54" s="14">
        <v>0</v>
      </c>
      <c r="AT54" s="14">
        <v>0</v>
      </c>
      <c r="AU54" s="14">
        <v>0</v>
      </c>
      <c r="AV54" s="14">
        <v>1</v>
      </c>
    </row>
    <row r="55" spans="1:157" s="12" customFormat="1" ht="255" hidden="1" x14ac:dyDescent="0.2">
      <c r="A55" s="10" t="s">
        <v>332</v>
      </c>
      <c r="B55" s="10" t="s">
        <v>766</v>
      </c>
      <c r="C55" s="10" t="s">
        <v>459</v>
      </c>
      <c r="D55" s="10" t="s">
        <v>700</v>
      </c>
      <c r="E55" s="10" t="s">
        <v>852</v>
      </c>
      <c r="F55" s="10"/>
      <c r="G55" s="10" t="s">
        <v>881</v>
      </c>
      <c r="H55" s="10" t="s">
        <v>879</v>
      </c>
      <c r="I55" s="10" t="s">
        <v>882</v>
      </c>
      <c r="J55" s="10" t="s">
        <v>458</v>
      </c>
      <c r="K55" s="10" t="s">
        <v>758</v>
      </c>
      <c r="L55" s="10" t="s">
        <v>880</v>
      </c>
      <c r="M55" s="10"/>
      <c r="N55" s="11" t="s">
        <v>587</v>
      </c>
      <c r="O55" s="10" t="s">
        <v>458</v>
      </c>
      <c r="P55" s="10" t="s">
        <v>458</v>
      </c>
      <c r="Q55" s="10" t="s">
        <v>459</v>
      </c>
      <c r="R55" s="10" t="s">
        <v>333</v>
      </c>
      <c r="S55" s="10" t="s">
        <v>81</v>
      </c>
      <c r="T55" s="5">
        <f t="shared" si="1"/>
        <v>1</v>
      </c>
      <c r="U55" s="12">
        <v>2020</v>
      </c>
      <c r="V55" s="12">
        <v>88</v>
      </c>
      <c r="W55" s="12">
        <v>2</v>
      </c>
      <c r="Z55" s="12">
        <v>242</v>
      </c>
      <c r="AA55" s="12">
        <v>246</v>
      </c>
      <c r="AC55" s="12" t="s">
        <v>334</v>
      </c>
      <c r="AD55" s="12" t="s">
        <v>335</v>
      </c>
      <c r="AE55" s="12" t="s">
        <v>336</v>
      </c>
      <c r="AF55" s="12">
        <v>2019</v>
      </c>
      <c r="AG55" s="12">
        <v>1</v>
      </c>
      <c r="AH55" s="12">
        <v>0</v>
      </c>
      <c r="AI55" s="12">
        <v>5</v>
      </c>
      <c r="AJ55" s="12">
        <v>0</v>
      </c>
      <c r="AK55" s="12">
        <v>0</v>
      </c>
      <c r="AL55" s="12">
        <v>0</v>
      </c>
      <c r="AM55" s="12">
        <v>0</v>
      </c>
      <c r="AN55" s="12">
        <v>0</v>
      </c>
      <c r="AO55" s="12">
        <v>0</v>
      </c>
      <c r="AP55" s="12">
        <v>0</v>
      </c>
      <c r="AQ55" s="12">
        <v>0</v>
      </c>
      <c r="AR55" s="12">
        <v>0</v>
      </c>
      <c r="AS55" s="12">
        <v>0</v>
      </c>
      <c r="AT55" s="12">
        <v>0</v>
      </c>
      <c r="AU55" s="12">
        <v>0</v>
      </c>
      <c r="AV55" s="12">
        <v>1</v>
      </c>
      <c r="AW55" s="12">
        <v>0</v>
      </c>
    </row>
    <row r="56" spans="1:157" ht="238" hidden="1" x14ac:dyDescent="0.2">
      <c r="A56" s="2" t="s">
        <v>357</v>
      </c>
      <c r="B56" s="2" t="s">
        <v>754</v>
      </c>
      <c r="C56" s="2" t="s">
        <v>459</v>
      </c>
      <c r="D56" s="2" t="s">
        <v>700</v>
      </c>
      <c r="E56" s="2" t="s">
        <v>883</v>
      </c>
      <c r="F56" s="2" t="s">
        <v>459</v>
      </c>
      <c r="G56" s="2" t="s">
        <v>884</v>
      </c>
      <c r="H56" s="2" t="s">
        <v>886</v>
      </c>
      <c r="I56" s="2" t="s">
        <v>885</v>
      </c>
      <c r="J56" s="2" t="s">
        <v>885</v>
      </c>
      <c r="K56" s="2" t="s">
        <v>758</v>
      </c>
      <c r="L56" s="2" t="s">
        <v>887</v>
      </c>
      <c r="N56" s="7" t="s">
        <v>593</v>
      </c>
      <c r="O56" s="2" t="s">
        <v>458</v>
      </c>
      <c r="P56" s="2" t="s">
        <v>458</v>
      </c>
      <c r="Q56" s="2" t="s">
        <v>458</v>
      </c>
      <c r="R56" s="2" t="s">
        <v>358</v>
      </c>
      <c r="S56" s="2" t="s">
        <v>45</v>
      </c>
      <c r="T56" s="5">
        <f t="shared" si="1"/>
        <v>5</v>
      </c>
      <c r="U56">
        <v>2016</v>
      </c>
      <c r="V56">
        <v>73</v>
      </c>
      <c r="W56">
        <v>4</v>
      </c>
      <c r="Z56">
        <v>648</v>
      </c>
      <c r="AA56">
        <v>654</v>
      </c>
      <c r="AF56">
        <v>1</v>
      </c>
      <c r="AG56">
        <v>0</v>
      </c>
      <c r="AH56">
        <v>17</v>
      </c>
      <c r="AI56">
        <v>0</v>
      </c>
      <c r="AJ56">
        <v>0</v>
      </c>
      <c r="AK56">
        <v>0</v>
      </c>
      <c r="AL56">
        <v>0</v>
      </c>
      <c r="AM56">
        <v>0</v>
      </c>
      <c r="AN56">
        <v>0</v>
      </c>
      <c r="AO56">
        <v>0</v>
      </c>
      <c r="AP56">
        <v>0</v>
      </c>
      <c r="AQ56">
        <v>0</v>
      </c>
      <c r="AR56">
        <v>0</v>
      </c>
      <c r="AS56">
        <v>1</v>
      </c>
      <c r="AT56">
        <v>0</v>
      </c>
      <c r="AU56">
        <v>0</v>
      </c>
      <c r="AV56">
        <v>0</v>
      </c>
    </row>
    <row r="57" spans="1:157" s="14" customFormat="1" ht="51" hidden="1" x14ac:dyDescent="0.2">
      <c r="A57" s="6" t="s">
        <v>363</v>
      </c>
      <c r="B57" s="6"/>
      <c r="C57" s="6"/>
      <c r="D57" s="6"/>
      <c r="E57" s="6"/>
      <c r="F57" s="6"/>
      <c r="G57" s="6"/>
      <c r="H57" s="6"/>
      <c r="I57" s="6"/>
      <c r="J57" s="6"/>
      <c r="K57" s="6"/>
      <c r="L57" s="6"/>
      <c r="M57" s="6"/>
      <c r="N57" s="15" t="s">
        <v>594</v>
      </c>
      <c r="O57" s="6"/>
      <c r="P57" s="6"/>
      <c r="Q57" s="6"/>
      <c r="R57" s="6" t="s">
        <v>364</v>
      </c>
      <c r="S57" s="6" t="s">
        <v>365</v>
      </c>
      <c r="T57" s="5">
        <f t="shared" si="1"/>
        <v>1</v>
      </c>
      <c r="U57" s="14">
        <v>2021</v>
      </c>
      <c r="V57" s="14">
        <v>29</v>
      </c>
      <c r="W57" s="14">
        <v>6</v>
      </c>
      <c r="Z57" s="14">
        <v>255</v>
      </c>
      <c r="AA57" s="14">
        <v>262</v>
      </c>
      <c r="AC57" s="14" t="s">
        <v>366</v>
      </c>
      <c r="AF57" s="14">
        <v>0</v>
      </c>
      <c r="AG57" s="14">
        <v>0</v>
      </c>
      <c r="AH57" s="14">
        <v>0</v>
      </c>
      <c r="AI57" s="14">
        <v>0</v>
      </c>
      <c r="AJ57" s="14">
        <v>0</v>
      </c>
      <c r="AK57" s="14">
        <v>0</v>
      </c>
      <c r="AL57" s="14">
        <v>0</v>
      </c>
      <c r="AM57" s="14">
        <v>0</v>
      </c>
      <c r="AN57" s="14">
        <v>0</v>
      </c>
      <c r="AO57" s="14">
        <v>0</v>
      </c>
      <c r="AP57" s="14">
        <v>0</v>
      </c>
      <c r="AQ57" s="14">
        <v>0</v>
      </c>
      <c r="AR57" s="14">
        <v>0</v>
      </c>
      <c r="AS57" s="14">
        <v>0</v>
      </c>
      <c r="AT57" s="14">
        <v>0</v>
      </c>
      <c r="AU57" s="14">
        <v>0</v>
      </c>
    </row>
    <row r="58" spans="1:157" ht="153" hidden="1" x14ac:dyDescent="0.2">
      <c r="A58" s="2" t="s">
        <v>367</v>
      </c>
      <c r="B58" s="2" t="s">
        <v>754</v>
      </c>
      <c r="C58" s="2" t="s">
        <v>459</v>
      </c>
      <c r="D58" s="2" t="s">
        <v>700</v>
      </c>
      <c r="E58" s="2" t="s">
        <v>888</v>
      </c>
      <c r="F58" s="2" t="s">
        <v>459</v>
      </c>
      <c r="G58" s="2" t="s">
        <v>889</v>
      </c>
      <c r="H58" s="2" t="s">
        <v>890</v>
      </c>
      <c r="I58" s="2" t="s">
        <v>459</v>
      </c>
      <c r="J58" s="2" t="s">
        <v>458</v>
      </c>
      <c r="K58" s="2" t="s">
        <v>758</v>
      </c>
      <c r="L58" s="2" t="s">
        <v>891</v>
      </c>
      <c r="N58" s="7" t="s">
        <v>595</v>
      </c>
      <c r="O58" s="2" t="s">
        <v>458</v>
      </c>
      <c r="P58" s="2" t="s">
        <v>458</v>
      </c>
      <c r="Q58" s="2" t="s">
        <v>459</v>
      </c>
      <c r="R58" s="2" t="s">
        <v>368</v>
      </c>
      <c r="S58" s="2" t="s">
        <v>109</v>
      </c>
      <c r="T58" s="5">
        <f t="shared" si="1"/>
        <v>1</v>
      </c>
      <c r="U58">
        <v>2020</v>
      </c>
      <c r="V58">
        <v>231</v>
      </c>
      <c r="W58">
        <v>4</v>
      </c>
      <c r="X58">
        <v>1</v>
      </c>
      <c r="Z58" t="s">
        <v>369</v>
      </c>
      <c r="AA58" t="s">
        <v>369</v>
      </c>
      <c r="AD58" t="s">
        <v>370</v>
      </c>
      <c r="AE58" t="s">
        <v>371</v>
      </c>
      <c r="AF58">
        <v>2020</v>
      </c>
      <c r="AG58">
        <v>0</v>
      </c>
      <c r="AH58">
        <v>0</v>
      </c>
      <c r="AI58">
        <v>0</v>
      </c>
      <c r="AJ58">
        <v>0</v>
      </c>
      <c r="AK58">
        <v>0</v>
      </c>
      <c r="AL58">
        <v>0</v>
      </c>
      <c r="AM58">
        <v>0</v>
      </c>
      <c r="AN58">
        <v>0</v>
      </c>
      <c r="AO58">
        <v>0</v>
      </c>
      <c r="AP58">
        <v>0</v>
      </c>
      <c r="AQ58">
        <v>0</v>
      </c>
      <c r="AR58">
        <v>0</v>
      </c>
      <c r="AS58">
        <v>0</v>
      </c>
      <c r="AT58">
        <v>0</v>
      </c>
      <c r="AU58">
        <v>0</v>
      </c>
      <c r="AV58">
        <v>0</v>
      </c>
    </row>
    <row r="59" spans="1:157" s="30" customFormat="1" ht="372" x14ac:dyDescent="0.2">
      <c r="A59" s="28" t="s">
        <v>938</v>
      </c>
      <c r="B59" s="28" t="s">
        <v>892</v>
      </c>
      <c r="C59" s="28" t="s">
        <v>459</v>
      </c>
      <c r="D59" s="28" t="s">
        <v>700</v>
      </c>
      <c r="E59" s="28" t="s">
        <v>820</v>
      </c>
      <c r="F59" s="28" t="s">
        <v>458</v>
      </c>
      <c r="G59" s="28" t="s">
        <v>893</v>
      </c>
      <c r="H59" s="28" t="s">
        <v>894</v>
      </c>
      <c r="I59" s="28" t="s">
        <v>459</v>
      </c>
      <c r="J59" s="28" t="s">
        <v>459</v>
      </c>
      <c r="K59" s="28" t="s">
        <v>758</v>
      </c>
      <c r="L59" s="28" t="s">
        <v>852</v>
      </c>
      <c r="M59" s="28" t="s">
        <v>895</v>
      </c>
      <c r="N59" s="29" t="s">
        <v>597</v>
      </c>
      <c r="O59" s="28" t="s">
        <v>458</v>
      </c>
      <c r="P59" s="28" t="s">
        <v>458</v>
      </c>
      <c r="Q59" s="28" t="s">
        <v>458</v>
      </c>
      <c r="R59" s="28" t="s">
        <v>372</v>
      </c>
      <c r="S59" s="28" t="s">
        <v>373</v>
      </c>
      <c r="T59" s="5">
        <f t="shared" si="1"/>
        <v>1</v>
      </c>
      <c r="U59" s="30" t="s">
        <v>374</v>
      </c>
      <c r="V59" s="30" t="s">
        <v>375</v>
      </c>
      <c r="W59" s="30">
        <v>2020</v>
      </c>
      <c r="X59" s="30">
        <v>54</v>
      </c>
      <c r="Y59" s="30">
        <v>7</v>
      </c>
      <c r="AB59" s="30">
        <v>652</v>
      </c>
      <c r="AC59" s="30">
        <v>659</v>
      </c>
      <c r="AE59" s="30" t="s">
        <v>376</v>
      </c>
      <c r="AH59" s="30">
        <v>0</v>
      </c>
      <c r="AI59" s="30">
        <v>0</v>
      </c>
      <c r="AJ59" s="30">
        <v>0</v>
      </c>
      <c r="AK59" s="30">
        <v>0</v>
      </c>
      <c r="AL59" s="30">
        <v>0</v>
      </c>
      <c r="AM59" s="30">
        <v>0</v>
      </c>
      <c r="AN59" s="30">
        <v>0</v>
      </c>
      <c r="AO59" s="30">
        <v>0</v>
      </c>
      <c r="AP59" s="30">
        <v>0</v>
      </c>
      <c r="AQ59" s="30">
        <v>0</v>
      </c>
      <c r="AR59" s="30">
        <v>0</v>
      </c>
      <c r="AS59" s="30">
        <v>0</v>
      </c>
      <c r="AT59" s="30">
        <v>0</v>
      </c>
      <c r="AU59" s="30">
        <v>0</v>
      </c>
      <c r="AV59" s="30">
        <v>0</v>
      </c>
      <c r="AW59" s="30">
        <v>0</v>
      </c>
    </row>
    <row r="60" spans="1:157" ht="272" hidden="1" x14ac:dyDescent="0.2">
      <c r="A60" s="2" t="s">
        <v>396</v>
      </c>
      <c r="B60" s="2" t="s">
        <v>699</v>
      </c>
      <c r="C60" s="2" t="s">
        <v>458</v>
      </c>
      <c r="D60" s="2" t="s">
        <v>700</v>
      </c>
      <c r="E60" s="2" t="s">
        <v>897</v>
      </c>
      <c r="F60" s="2" t="s">
        <v>458</v>
      </c>
      <c r="G60" s="2" t="s">
        <v>896</v>
      </c>
      <c r="H60" s="2" t="s">
        <v>898</v>
      </c>
      <c r="I60" s="2" t="s">
        <v>459</v>
      </c>
      <c r="J60" s="2" t="s">
        <v>458</v>
      </c>
      <c r="K60" s="2" t="s">
        <v>758</v>
      </c>
      <c r="L60" s="2" t="s">
        <v>899</v>
      </c>
      <c r="M60" s="2" t="s">
        <v>900</v>
      </c>
      <c r="N60" s="7" t="s">
        <v>605</v>
      </c>
      <c r="O60" s="2" t="s">
        <v>606</v>
      </c>
      <c r="P60" s="2" t="s">
        <v>458</v>
      </c>
      <c r="Q60" s="2" t="s">
        <v>459</v>
      </c>
      <c r="R60" s="2" t="s">
        <v>397</v>
      </c>
      <c r="S60" s="2" t="s">
        <v>398</v>
      </c>
      <c r="T60" s="5">
        <f t="shared" si="1"/>
        <v>1</v>
      </c>
      <c r="U60">
        <v>2019</v>
      </c>
      <c r="V60">
        <v>5</v>
      </c>
      <c r="W60">
        <v>3</v>
      </c>
      <c r="Z60">
        <v>140</v>
      </c>
      <c r="AA60">
        <v>143</v>
      </c>
      <c r="AC60" t="s">
        <v>399</v>
      </c>
      <c r="AF60">
        <v>0</v>
      </c>
      <c r="AG60">
        <v>0</v>
      </c>
      <c r="AH60">
        <v>0</v>
      </c>
      <c r="AI60">
        <v>0</v>
      </c>
      <c r="AJ60">
        <v>0</v>
      </c>
      <c r="AK60">
        <v>0</v>
      </c>
      <c r="AL60">
        <v>0</v>
      </c>
      <c r="AM60">
        <v>0</v>
      </c>
      <c r="AN60">
        <v>0</v>
      </c>
      <c r="AO60">
        <v>0</v>
      </c>
      <c r="AP60">
        <v>0</v>
      </c>
      <c r="AQ60">
        <v>0</v>
      </c>
      <c r="AR60">
        <v>0</v>
      </c>
      <c r="AS60">
        <v>0</v>
      </c>
      <c r="AT60">
        <v>0</v>
      </c>
      <c r="AU60">
        <v>0</v>
      </c>
    </row>
    <row r="61" spans="1:157" s="14" customFormat="1" ht="51" hidden="1" x14ac:dyDescent="0.2">
      <c r="A61" s="6" t="s">
        <v>400</v>
      </c>
      <c r="B61" s="6"/>
      <c r="C61" s="6"/>
      <c r="D61" s="6"/>
      <c r="E61" s="6"/>
      <c r="F61" s="6"/>
      <c r="G61" s="6"/>
      <c r="H61" s="6"/>
      <c r="I61" s="6"/>
      <c r="J61" s="6"/>
      <c r="K61" s="6"/>
      <c r="L61" s="6"/>
      <c r="M61" s="6"/>
      <c r="N61" s="15" t="s">
        <v>607</v>
      </c>
      <c r="O61" s="6"/>
      <c r="P61" s="6"/>
      <c r="Q61" s="6"/>
      <c r="R61" s="6" t="s">
        <v>401</v>
      </c>
      <c r="S61" s="6" t="s">
        <v>402</v>
      </c>
      <c r="T61" s="5">
        <f t="shared" si="1"/>
        <v>1</v>
      </c>
      <c r="U61" s="14" t="s">
        <v>30</v>
      </c>
      <c r="V61" s="14">
        <v>2018</v>
      </c>
      <c r="W61" s="14">
        <v>40</v>
      </c>
      <c r="X61" s="14">
        <v>5</v>
      </c>
      <c r="Z61" s="14" t="s">
        <v>31</v>
      </c>
      <c r="AA61" s="14">
        <v>532</v>
      </c>
      <c r="AB61" s="14">
        <v>533</v>
      </c>
      <c r="AD61" s="14" t="s">
        <v>403</v>
      </c>
      <c r="AG61" s="14">
        <v>0</v>
      </c>
      <c r="AH61" s="14">
        <v>0</v>
      </c>
      <c r="AI61" s="14">
        <v>0</v>
      </c>
      <c r="AJ61" s="14">
        <v>0</v>
      </c>
      <c r="AK61" s="14">
        <v>0</v>
      </c>
      <c r="AL61" s="14">
        <v>0</v>
      </c>
      <c r="AM61" s="14">
        <v>0</v>
      </c>
      <c r="AN61" s="14">
        <v>0</v>
      </c>
      <c r="AO61" s="14">
        <v>0</v>
      </c>
      <c r="AP61" s="14">
        <v>0</v>
      </c>
      <c r="AQ61" s="14">
        <v>0</v>
      </c>
      <c r="AR61" s="14">
        <v>0</v>
      </c>
      <c r="AS61" s="14">
        <v>0</v>
      </c>
      <c r="AT61" s="14">
        <v>0</v>
      </c>
      <c r="AU61" s="14">
        <v>0</v>
      </c>
      <c r="AV61" s="14">
        <v>0</v>
      </c>
    </row>
    <row r="62" spans="1:157" ht="340" hidden="1" x14ac:dyDescent="0.2">
      <c r="A62" s="2" t="s">
        <v>410</v>
      </c>
      <c r="B62" s="2" t="s">
        <v>903</v>
      </c>
      <c r="C62" s="2" t="s">
        <v>459</v>
      </c>
      <c r="D62" s="2" t="s">
        <v>700</v>
      </c>
      <c r="E62" s="2" t="s">
        <v>905</v>
      </c>
      <c r="F62" s="2" t="s">
        <v>458</v>
      </c>
      <c r="G62" s="2" t="s">
        <v>904</v>
      </c>
      <c r="H62" s="2" t="s">
        <v>902</v>
      </c>
      <c r="I62" s="2" t="s">
        <v>882</v>
      </c>
      <c r="J62" s="2" t="s">
        <v>458</v>
      </c>
      <c r="K62" s="2" t="s">
        <v>758</v>
      </c>
      <c r="L62" s="2" t="s">
        <v>458</v>
      </c>
      <c r="M62" s="2" t="s">
        <v>901</v>
      </c>
      <c r="N62" s="7" t="s">
        <v>609</v>
      </c>
      <c r="O62" s="2" t="s">
        <v>458</v>
      </c>
      <c r="P62" s="2" t="s">
        <v>458</v>
      </c>
      <c r="Q62" s="2" t="s">
        <v>458</v>
      </c>
      <c r="R62" s="2" t="s">
        <v>411</v>
      </c>
      <c r="S62" s="2" t="s">
        <v>412</v>
      </c>
      <c r="T62" s="5">
        <f t="shared" si="1"/>
        <v>1</v>
      </c>
      <c r="U62">
        <v>2017</v>
      </c>
      <c r="V62">
        <v>23</v>
      </c>
      <c r="W62">
        <v>6</v>
      </c>
      <c r="Z62">
        <v>1381</v>
      </c>
      <c r="AA62">
        <v>1386</v>
      </c>
      <c r="AC62" t="s">
        <v>413</v>
      </c>
      <c r="AF62">
        <v>0</v>
      </c>
      <c r="AG62">
        <v>0</v>
      </c>
      <c r="AH62">
        <v>0</v>
      </c>
      <c r="AI62">
        <v>0</v>
      </c>
      <c r="AJ62">
        <v>0</v>
      </c>
      <c r="AK62">
        <v>0</v>
      </c>
      <c r="AL62">
        <v>0</v>
      </c>
      <c r="AM62">
        <v>0</v>
      </c>
      <c r="AN62">
        <v>0</v>
      </c>
      <c r="AO62">
        <v>0</v>
      </c>
      <c r="AP62">
        <v>0</v>
      </c>
      <c r="AQ62">
        <v>0</v>
      </c>
      <c r="AR62">
        <v>0</v>
      </c>
      <c r="AS62">
        <v>0</v>
      </c>
      <c r="AT62">
        <v>0</v>
      </c>
      <c r="AU62">
        <v>0</v>
      </c>
    </row>
    <row r="63" spans="1:157" s="14" customFormat="1" ht="51" hidden="1" x14ac:dyDescent="0.2">
      <c r="A63" s="6" t="s">
        <v>906</v>
      </c>
      <c r="B63" s="6"/>
      <c r="C63" s="6"/>
      <c r="D63" s="6"/>
      <c r="E63" s="6"/>
      <c r="F63" s="6"/>
      <c r="G63" s="6"/>
      <c r="H63" s="6"/>
      <c r="I63" s="6"/>
      <c r="J63" s="6"/>
      <c r="K63" s="6"/>
      <c r="L63" s="6"/>
      <c r="M63" s="6"/>
      <c r="N63" s="13"/>
      <c r="O63" s="6"/>
      <c r="P63" s="6"/>
      <c r="Q63" s="6"/>
      <c r="R63" s="14" t="s">
        <v>619</v>
      </c>
      <c r="S63" s="14" t="s">
        <v>621</v>
      </c>
      <c r="T63" s="5">
        <f t="shared" si="1"/>
        <v>1</v>
      </c>
      <c r="U63" s="14" t="s">
        <v>622</v>
      </c>
      <c r="V63" s="14">
        <v>1994</v>
      </c>
      <c r="W63" s="14">
        <v>9</v>
      </c>
      <c r="X63" s="14">
        <v>3</v>
      </c>
      <c r="Y63" s="14" t="s">
        <v>620</v>
      </c>
      <c r="Z63" s="14" t="s">
        <v>620</v>
      </c>
      <c r="AA63" s="14" t="s">
        <v>620</v>
      </c>
      <c r="AB63" s="14">
        <v>165</v>
      </c>
      <c r="AC63" s="14" t="s">
        <v>623</v>
      </c>
      <c r="AD63" s="14" t="s">
        <v>620</v>
      </c>
      <c r="AE63" s="14" t="s">
        <v>620</v>
      </c>
      <c r="AF63" s="14" t="s">
        <v>620</v>
      </c>
      <c r="AG63" s="14" t="s">
        <v>620</v>
      </c>
      <c r="AH63" s="14">
        <v>0</v>
      </c>
      <c r="AI63" s="14">
        <v>0</v>
      </c>
      <c r="AJ63" s="14">
        <v>0</v>
      </c>
      <c r="AK63" s="14">
        <v>0</v>
      </c>
      <c r="AL63" s="14">
        <v>0</v>
      </c>
      <c r="AM63" s="14">
        <v>0</v>
      </c>
      <c r="AN63" s="14">
        <v>0</v>
      </c>
      <c r="AO63" s="14">
        <v>0</v>
      </c>
      <c r="AP63" s="14">
        <v>0</v>
      </c>
      <c r="AQ63" s="14">
        <v>0</v>
      </c>
      <c r="AR63" s="14">
        <v>0</v>
      </c>
      <c r="AS63" s="14">
        <v>0</v>
      </c>
      <c r="AT63" s="14">
        <v>0</v>
      </c>
      <c r="AU63" s="14">
        <v>0</v>
      </c>
      <c r="AV63" s="14">
        <v>0</v>
      </c>
      <c r="AW63" s="14">
        <v>0</v>
      </c>
      <c r="AX63" s="14">
        <v>0</v>
      </c>
      <c r="AY63" s="14">
        <v>0</v>
      </c>
      <c r="AZ63" s="14">
        <v>0</v>
      </c>
      <c r="BA63" s="14">
        <v>0</v>
      </c>
      <c r="BB63" s="14">
        <v>0</v>
      </c>
      <c r="BC63" s="14">
        <v>0</v>
      </c>
      <c r="BD63" s="14">
        <v>0</v>
      </c>
      <c r="BE63" s="14">
        <v>0</v>
      </c>
      <c r="BF63" s="14">
        <v>0</v>
      </c>
      <c r="BG63" s="14">
        <v>0</v>
      </c>
      <c r="BH63" s="14">
        <v>0</v>
      </c>
      <c r="BI63" s="14">
        <v>0</v>
      </c>
      <c r="BJ63" s="14">
        <v>0</v>
      </c>
      <c r="BK63" s="14">
        <v>0</v>
      </c>
      <c r="BL63" s="14">
        <v>0</v>
      </c>
      <c r="BM63" s="14">
        <v>0</v>
      </c>
      <c r="BN63" s="14">
        <v>0</v>
      </c>
      <c r="BO63" s="14">
        <v>0</v>
      </c>
      <c r="BP63" s="14">
        <v>0</v>
      </c>
      <c r="BQ63" s="14">
        <v>0</v>
      </c>
      <c r="BR63" s="14">
        <v>0</v>
      </c>
      <c r="BS63" s="14">
        <v>0</v>
      </c>
      <c r="BT63" s="14">
        <v>0</v>
      </c>
      <c r="BU63" s="14">
        <v>0</v>
      </c>
      <c r="BV63" s="14">
        <v>0</v>
      </c>
      <c r="BW63" s="14">
        <v>0</v>
      </c>
      <c r="BX63" s="14">
        <v>0</v>
      </c>
      <c r="BY63" s="14">
        <v>0</v>
      </c>
      <c r="BZ63" s="14">
        <v>0</v>
      </c>
      <c r="CA63" s="14">
        <v>0</v>
      </c>
      <c r="CB63" s="14">
        <v>0</v>
      </c>
      <c r="CC63" s="14">
        <v>0</v>
      </c>
      <c r="CD63" s="14">
        <v>0</v>
      </c>
      <c r="CE63" s="14">
        <v>0</v>
      </c>
      <c r="CF63" s="14">
        <v>0</v>
      </c>
      <c r="CG63" s="14">
        <v>0</v>
      </c>
      <c r="CH63" s="14">
        <v>0</v>
      </c>
      <c r="CI63" s="14">
        <v>0</v>
      </c>
      <c r="CJ63" s="14">
        <v>0</v>
      </c>
      <c r="CK63" s="14">
        <v>0</v>
      </c>
      <c r="CL63" s="14">
        <v>0</v>
      </c>
      <c r="CM63" s="14">
        <v>0</v>
      </c>
      <c r="CN63" s="14">
        <v>0</v>
      </c>
      <c r="CO63" s="14">
        <v>0</v>
      </c>
      <c r="CP63" s="14">
        <v>0</v>
      </c>
      <c r="CQ63" s="14">
        <v>0</v>
      </c>
      <c r="CR63" s="14">
        <v>0</v>
      </c>
      <c r="CS63" s="14">
        <v>0</v>
      </c>
      <c r="CT63" s="14">
        <v>0</v>
      </c>
      <c r="CU63" s="14">
        <v>0</v>
      </c>
      <c r="CV63" s="14">
        <v>0</v>
      </c>
      <c r="CW63" s="14">
        <v>0</v>
      </c>
      <c r="CX63" s="14">
        <v>0</v>
      </c>
      <c r="CY63" s="14">
        <v>0</v>
      </c>
      <c r="CZ63" s="14">
        <v>0</v>
      </c>
      <c r="DA63" s="14">
        <v>0</v>
      </c>
      <c r="DB63" s="14">
        <v>0</v>
      </c>
      <c r="DC63" s="14">
        <v>0</v>
      </c>
      <c r="DD63" s="14">
        <v>0</v>
      </c>
      <c r="DE63" s="14">
        <v>0</v>
      </c>
      <c r="DF63" s="14">
        <v>0</v>
      </c>
      <c r="DG63" s="14">
        <v>0</v>
      </c>
      <c r="DH63" s="14">
        <v>0</v>
      </c>
      <c r="DI63" s="14">
        <v>0</v>
      </c>
      <c r="DJ63" s="14">
        <v>0</v>
      </c>
      <c r="DK63" s="14">
        <v>0</v>
      </c>
      <c r="DL63" s="14">
        <v>0</v>
      </c>
      <c r="DM63" s="14">
        <v>0</v>
      </c>
      <c r="DN63" s="14">
        <v>0</v>
      </c>
      <c r="DO63" s="14">
        <v>0</v>
      </c>
      <c r="DP63" s="14">
        <v>0</v>
      </c>
      <c r="DQ63" s="14">
        <v>0</v>
      </c>
      <c r="DR63" s="14">
        <v>0</v>
      </c>
      <c r="DS63" s="14">
        <v>0</v>
      </c>
      <c r="DT63" s="14">
        <v>0</v>
      </c>
      <c r="DU63" s="14">
        <v>0</v>
      </c>
      <c r="DV63" s="14">
        <v>0</v>
      </c>
      <c r="DW63" s="14">
        <v>0</v>
      </c>
      <c r="DX63" s="14">
        <v>0</v>
      </c>
      <c r="DY63" s="14">
        <v>0</v>
      </c>
      <c r="DZ63" s="14">
        <v>0</v>
      </c>
      <c r="EA63" s="14">
        <v>0</v>
      </c>
      <c r="EB63" s="14">
        <v>0</v>
      </c>
      <c r="EC63" s="14">
        <v>0</v>
      </c>
      <c r="ED63" s="14">
        <v>0</v>
      </c>
      <c r="EE63" s="14">
        <v>0</v>
      </c>
      <c r="EF63" s="14">
        <v>0</v>
      </c>
      <c r="EG63" s="14">
        <v>0</v>
      </c>
      <c r="EH63" s="14">
        <v>0</v>
      </c>
      <c r="EI63" s="14">
        <v>0</v>
      </c>
      <c r="EJ63" s="14">
        <v>0</v>
      </c>
      <c r="EK63" s="14">
        <v>0</v>
      </c>
      <c r="EL63" s="14">
        <v>0</v>
      </c>
      <c r="EM63" s="14">
        <v>0</v>
      </c>
      <c r="EN63" s="14">
        <v>0</v>
      </c>
      <c r="EO63" s="14">
        <v>0</v>
      </c>
      <c r="EP63" s="14">
        <v>0</v>
      </c>
      <c r="EQ63" s="14">
        <v>0</v>
      </c>
      <c r="ER63" s="14">
        <v>0</v>
      </c>
      <c r="ES63" s="14">
        <v>0</v>
      </c>
      <c r="ET63" s="14">
        <v>0</v>
      </c>
      <c r="EU63" s="14">
        <v>0</v>
      </c>
      <c r="EV63" s="14">
        <v>0</v>
      </c>
      <c r="EW63" s="14">
        <v>0</v>
      </c>
      <c r="EX63" s="14">
        <v>0</v>
      </c>
      <c r="EY63" s="14">
        <v>0</v>
      </c>
      <c r="EZ63" s="14">
        <v>0</v>
      </c>
      <c r="FA63" s="14">
        <v>0</v>
      </c>
    </row>
    <row r="64" spans="1:157" s="14" customFormat="1" ht="34" hidden="1" x14ac:dyDescent="0.2">
      <c r="A64" s="6" t="s">
        <v>907</v>
      </c>
      <c r="B64" s="6"/>
      <c r="C64" s="6"/>
      <c r="D64" s="6"/>
      <c r="E64" s="6"/>
      <c r="F64" s="6"/>
      <c r="G64" s="6"/>
      <c r="H64" s="6"/>
      <c r="I64" s="6"/>
      <c r="J64" s="6"/>
      <c r="K64" s="6"/>
      <c r="L64" s="6"/>
      <c r="M64" s="6"/>
      <c r="N64" s="13"/>
      <c r="O64" s="6"/>
      <c r="P64" s="6"/>
      <c r="Q64" s="6"/>
      <c r="R64" s="14" t="s">
        <v>660</v>
      </c>
      <c r="S64" s="14" t="s">
        <v>344</v>
      </c>
      <c r="T64" s="5">
        <f t="shared" si="1"/>
        <v>1</v>
      </c>
      <c r="U64" s="14" t="s">
        <v>661</v>
      </c>
      <c r="V64" s="14">
        <v>1999</v>
      </c>
      <c r="W64" s="14">
        <v>33</v>
      </c>
      <c r="X64" s="14">
        <v>1</v>
      </c>
      <c r="Y64" s="14" t="s">
        <v>620</v>
      </c>
      <c r="Z64" s="14" t="s">
        <v>620</v>
      </c>
      <c r="AA64" s="14" t="s">
        <v>620</v>
      </c>
      <c r="AB64" s="14">
        <v>51</v>
      </c>
      <c r="AC64" s="14">
        <v>55</v>
      </c>
      <c r="AD64" s="14" t="s">
        <v>620</v>
      </c>
      <c r="AE64" s="14" t="s">
        <v>662</v>
      </c>
      <c r="AF64" s="14" t="s">
        <v>620</v>
      </c>
      <c r="AG64" s="14" t="s">
        <v>620</v>
      </c>
      <c r="AH64" s="14">
        <v>4</v>
      </c>
      <c r="AI64" s="14">
        <v>0.17</v>
      </c>
      <c r="AJ64" s="14">
        <v>0</v>
      </c>
      <c r="AK64" s="14">
        <v>0</v>
      </c>
      <c r="AL64" s="14">
        <v>0</v>
      </c>
      <c r="AM64" s="14">
        <v>0</v>
      </c>
      <c r="AN64" s="14">
        <v>0</v>
      </c>
      <c r="AO64" s="14">
        <v>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0</v>
      </c>
      <c r="BL64" s="14">
        <v>0</v>
      </c>
      <c r="BM64" s="14">
        <v>0</v>
      </c>
      <c r="BN64" s="14">
        <v>0</v>
      </c>
      <c r="BO64" s="14">
        <v>0</v>
      </c>
      <c r="BP64" s="14">
        <v>0</v>
      </c>
      <c r="BQ64" s="14">
        <v>0</v>
      </c>
      <c r="BR64" s="14">
        <v>0</v>
      </c>
      <c r="BS64" s="14">
        <v>0</v>
      </c>
      <c r="BT64" s="14">
        <v>0</v>
      </c>
      <c r="BU64" s="14">
        <v>0</v>
      </c>
      <c r="BV64" s="14">
        <v>0</v>
      </c>
      <c r="BW64" s="14">
        <v>0</v>
      </c>
      <c r="BX64" s="14">
        <v>0</v>
      </c>
      <c r="BY64" s="14">
        <v>0</v>
      </c>
      <c r="BZ64" s="14">
        <v>0</v>
      </c>
      <c r="CA64" s="14">
        <v>0</v>
      </c>
      <c r="CB64" s="14">
        <v>0</v>
      </c>
      <c r="CC64" s="14">
        <v>0</v>
      </c>
      <c r="CD64" s="14">
        <v>0</v>
      </c>
      <c r="CE64" s="14">
        <v>0</v>
      </c>
      <c r="CF64" s="14">
        <v>0</v>
      </c>
      <c r="CG64" s="14">
        <v>0</v>
      </c>
      <c r="CH64" s="14">
        <v>0</v>
      </c>
      <c r="CI64" s="14">
        <v>0</v>
      </c>
      <c r="CJ64" s="14">
        <v>0</v>
      </c>
      <c r="CK64" s="14">
        <v>0</v>
      </c>
      <c r="CL64" s="14">
        <v>0</v>
      </c>
      <c r="CM64" s="14">
        <v>0</v>
      </c>
      <c r="CN64" s="14">
        <v>0</v>
      </c>
      <c r="CO64" s="14">
        <v>0</v>
      </c>
      <c r="CP64" s="14">
        <v>0</v>
      </c>
      <c r="CQ64" s="14">
        <v>0</v>
      </c>
      <c r="CR64" s="14">
        <v>0</v>
      </c>
      <c r="CS64" s="14">
        <v>0</v>
      </c>
      <c r="CT64" s="14">
        <v>0</v>
      </c>
      <c r="CU64" s="14">
        <v>0</v>
      </c>
      <c r="CV64" s="14">
        <v>0</v>
      </c>
      <c r="CW64" s="14">
        <v>0</v>
      </c>
      <c r="CX64" s="14">
        <v>0</v>
      </c>
      <c r="CY64" s="14">
        <v>0</v>
      </c>
      <c r="CZ64" s="14">
        <v>0</v>
      </c>
      <c r="DA64" s="14">
        <v>0</v>
      </c>
      <c r="DB64" s="14">
        <v>0</v>
      </c>
      <c r="DC64" s="14">
        <v>0</v>
      </c>
      <c r="DD64" s="14">
        <v>0</v>
      </c>
      <c r="DE64" s="14">
        <v>0</v>
      </c>
      <c r="DF64" s="14">
        <v>0</v>
      </c>
      <c r="DG64" s="14">
        <v>0</v>
      </c>
      <c r="DH64" s="14">
        <v>0</v>
      </c>
      <c r="DI64" s="14">
        <v>0</v>
      </c>
      <c r="DJ64" s="14">
        <v>0</v>
      </c>
      <c r="DK64" s="14">
        <v>0</v>
      </c>
      <c r="DL64" s="14">
        <v>0</v>
      </c>
      <c r="DM64" s="14">
        <v>0</v>
      </c>
      <c r="DN64" s="14">
        <v>0</v>
      </c>
      <c r="DO64" s="14">
        <v>0</v>
      </c>
      <c r="DP64" s="14">
        <v>0</v>
      </c>
      <c r="DQ64" s="14">
        <v>0</v>
      </c>
      <c r="DR64" s="14">
        <v>0</v>
      </c>
      <c r="DS64" s="14">
        <v>0</v>
      </c>
      <c r="DT64" s="14">
        <v>0</v>
      </c>
      <c r="DU64" s="14">
        <v>0</v>
      </c>
      <c r="DV64" s="14">
        <v>0</v>
      </c>
      <c r="DW64" s="14">
        <v>0</v>
      </c>
      <c r="DX64" s="14">
        <v>0</v>
      </c>
      <c r="DY64" s="14">
        <v>0</v>
      </c>
      <c r="DZ64" s="14">
        <v>0</v>
      </c>
      <c r="EA64" s="14">
        <v>0</v>
      </c>
      <c r="EB64" s="14">
        <v>0</v>
      </c>
      <c r="EC64" s="14">
        <v>0</v>
      </c>
      <c r="ED64" s="14">
        <v>0</v>
      </c>
      <c r="EE64" s="14">
        <v>0</v>
      </c>
      <c r="EF64" s="14">
        <v>0</v>
      </c>
      <c r="EG64" s="14">
        <v>0</v>
      </c>
      <c r="EH64" s="14">
        <v>0</v>
      </c>
      <c r="EI64" s="14">
        <v>0</v>
      </c>
      <c r="EJ64" s="14">
        <v>0</v>
      </c>
      <c r="EK64" s="14">
        <v>0</v>
      </c>
      <c r="EL64" s="14">
        <v>0</v>
      </c>
      <c r="EM64" s="14">
        <v>1</v>
      </c>
      <c r="EN64" s="14">
        <v>2</v>
      </c>
      <c r="EO64" s="14">
        <v>1</v>
      </c>
      <c r="EP64" s="14">
        <v>0</v>
      </c>
      <c r="EQ64" s="14">
        <v>0</v>
      </c>
      <c r="ER64" s="14">
        <v>0</v>
      </c>
      <c r="ES64" s="14">
        <v>0</v>
      </c>
      <c r="ET64" s="14">
        <v>0</v>
      </c>
      <c r="EU64" s="14">
        <v>0</v>
      </c>
      <c r="EV64" s="14">
        <v>0</v>
      </c>
      <c r="EW64" s="14">
        <v>0</v>
      </c>
      <c r="EX64" s="14">
        <v>0</v>
      </c>
      <c r="EY64" s="14">
        <v>0</v>
      </c>
      <c r="EZ64" s="14">
        <v>0</v>
      </c>
      <c r="FA64" s="14">
        <v>0</v>
      </c>
    </row>
    <row r="65" spans="1:157" ht="136" hidden="1" x14ac:dyDescent="0.2">
      <c r="A65" s="2" t="s">
        <v>663</v>
      </c>
      <c r="B65" s="2" t="s">
        <v>908</v>
      </c>
      <c r="C65" s="2" t="s">
        <v>458</v>
      </c>
      <c r="D65" s="2" t="s">
        <v>694</v>
      </c>
      <c r="E65" s="2" t="s">
        <v>909</v>
      </c>
      <c r="F65" s="2" t="s">
        <v>459</v>
      </c>
      <c r="G65" s="2" t="s">
        <v>910</v>
      </c>
      <c r="H65" s="2" t="s">
        <v>911</v>
      </c>
      <c r="I65" s="2" t="s">
        <v>459</v>
      </c>
      <c r="J65" s="2" t="s">
        <v>459</v>
      </c>
      <c r="K65" s="2" t="s">
        <v>758</v>
      </c>
      <c r="L65" s="2" t="s">
        <v>852</v>
      </c>
      <c r="M65" s="2" t="s">
        <v>912</v>
      </c>
      <c r="R65" t="s">
        <v>664</v>
      </c>
      <c r="S65" t="s">
        <v>26</v>
      </c>
      <c r="T65" s="5">
        <f t="shared" si="1"/>
        <v>3</v>
      </c>
      <c r="U65" t="s">
        <v>665</v>
      </c>
      <c r="V65">
        <v>2018</v>
      </c>
      <c r="W65">
        <v>13</v>
      </c>
      <c r="X65">
        <v>5</v>
      </c>
      <c r="Y65" t="s">
        <v>620</v>
      </c>
      <c r="Z65" t="s">
        <v>620</v>
      </c>
      <c r="AA65" t="s">
        <v>620</v>
      </c>
      <c r="AB65">
        <v>331</v>
      </c>
      <c r="AC65">
        <v>340</v>
      </c>
      <c r="AD65" t="s">
        <v>620</v>
      </c>
      <c r="AE65" t="s">
        <v>666</v>
      </c>
      <c r="AF65" t="s">
        <v>620</v>
      </c>
      <c r="AG65" t="s">
        <v>620</v>
      </c>
      <c r="AH65">
        <v>3</v>
      </c>
      <c r="AI65">
        <v>0.75</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1</v>
      </c>
      <c r="EZ65">
        <v>2</v>
      </c>
      <c r="FA65">
        <v>0</v>
      </c>
    </row>
    <row r="66" spans="1:157" ht="51" hidden="1" x14ac:dyDescent="0.2">
      <c r="A66" s="2" t="s">
        <v>671</v>
      </c>
      <c r="B66" s="2" t="s">
        <v>913</v>
      </c>
      <c r="C66" s="2" t="s">
        <v>459</v>
      </c>
      <c r="D66" s="2" t="s">
        <v>694</v>
      </c>
      <c r="E66" s="2" t="s">
        <v>916</v>
      </c>
      <c r="F66" s="2" t="s">
        <v>458</v>
      </c>
      <c r="G66" s="2" t="s">
        <v>914</v>
      </c>
      <c r="H66" s="2" t="s">
        <v>915</v>
      </c>
      <c r="I66" s="2" t="s">
        <v>459</v>
      </c>
      <c r="J66" s="2" t="s">
        <v>459</v>
      </c>
      <c r="K66" s="2" t="s">
        <v>758</v>
      </c>
      <c r="L66" s="2" t="s">
        <v>852</v>
      </c>
      <c r="M66" s="2" t="s">
        <v>917</v>
      </c>
      <c r="R66" t="s">
        <v>672</v>
      </c>
      <c r="S66" t="s">
        <v>673</v>
      </c>
      <c r="T66" s="5">
        <f>COUNTIF($S$2:$S$66,S66)</f>
        <v>1</v>
      </c>
      <c r="U66" t="s">
        <v>674</v>
      </c>
      <c r="V66">
        <v>2018</v>
      </c>
      <c r="W66">
        <v>10</v>
      </c>
      <c r="X66">
        <v>3</v>
      </c>
      <c r="Y66" t="s">
        <v>620</v>
      </c>
      <c r="Z66" t="s">
        <v>620</v>
      </c>
      <c r="AA66" t="s">
        <v>620</v>
      </c>
      <c r="AB66">
        <v>183</v>
      </c>
      <c r="AC66">
        <v>188</v>
      </c>
      <c r="AD66" t="s">
        <v>620</v>
      </c>
      <c r="AE66" t="s">
        <v>675</v>
      </c>
      <c r="AF66" t="s">
        <v>620</v>
      </c>
      <c r="AG66" t="s">
        <v>620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row>
    <row r="67" spans="1:157" x14ac:dyDescent="0.2">
      <c r="T67" s="5"/>
    </row>
  </sheetData>
  <autoFilter ref="A1:AY66" xr:uid="{F7858121-29E1-5543-A087-28965803E051}">
    <filterColumn colId="0">
      <colorFilter dxfId="136"/>
    </filterColumn>
  </autoFilter>
  <conditionalFormatting sqref="O26:Q26 N25:Q25 O39:Q39 O62:Q62 N1:Q1 N3:Q3 N5:Q5 N14:Q15 N17:Q17 N19:Q19 N31:Q31 N33:Q35 N46:Q46 L47:Q61 L36:Q38 L20:Q24 L62:M62 L40:Q45 L27:Q30 L10:Q13 L39:M39 L25:M26 L7:Q8 L9:M9 L2:Q2 M7:M13 A67:A1048576 L67:Q1048576 L4:Q4 L16:Q16 L18:Q18 M20:M30 L32:Q32 M36:M45 A1:A62 M47:M62">
    <cfRule type="containsText" dxfId="135" priority="45" operator="containsText" text="review">
      <formula>NOT(ISERROR(SEARCH("review",A1)))</formula>
    </cfRule>
  </conditionalFormatting>
  <conditionalFormatting sqref="L1:M1">
    <cfRule type="containsText" dxfId="134" priority="40" operator="containsText" text="review">
      <formula>NOT(ISERROR(SEARCH("review",L1)))</formula>
    </cfRule>
  </conditionalFormatting>
  <conditionalFormatting sqref="L3:M3">
    <cfRule type="containsText" dxfId="133" priority="39" operator="containsText" text="review">
      <formula>NOT(ISERROR(SEARCH("review",L3)))</formula>
    </cfRule>
  </conditionalFormatting>
  <conditionalFormatting sqref="L5:M5">
    <cfRule type="containsText" dxfId="132" priority="38" operator="containsText" text="review">
      <formula>NOT(ISERROR(SEARCH("review",L5)))</formula>
    </cfRule>
  </conditionalFormatting>
  <conditionalFormatting sqref="L6:M6">
    <cfRule type="containsText" dxfId="131" priority="37" operator="containsText" text="review">
      <formula>NOT(ISERROR(SEARCH("review",L6)))</formula>
    </cfRule>
  </conditionalFormatting>
  <conditionalFormatting sqref="L14:M14">
    <cfRule type="containsText" dxfId="130" priority="36" operator="containsText" text="review">
      <formula>NOT(ISERROR(SEARCH("review",L14)))</formula>
    </cfRule>
  </conditionalFormatting>
  <conditionalFormatting sqref="L15:M15">
    <cfRule type="containsText" dxfId="129" priority="35" operator="containsText" text="review">
      <formula>NOT(ISERROR(SEARCH("review",L15)))</formula>
    </cfRule>
  </conditionalFormatting>
  <conditionalFormatting sqref="L17:M17">
    <cfRule type="containsText" dxfId="128" priority="34" operator="containsText" text="review">
      <formula>NOT(ISERROR(SEARCH("review",L17)))</formula>
    </cfRule>
  </conditionalFormatting>
  <conditionalFormatting sqref="L19:M19">
    <cfRule type="containsText" dxfId="127" priority="33" operator="containsText" text="review">
      <formula>NOT(ISERROR(SEARCH("review",L19)))</formula>
    </cfRule>
  </conditionalFormatting>
  <conditionalFormatting sqref="L31:M31">
    <cfRule type="containsText" dxfId="126" priority="32" operator="containsText" text="review">
      <formula>NOT(ISERROR(SEARCH("review",L31)))</formula>
    </cfRule>
  </conditionalFormatting>
  <conditionalFormatting sqref="L33:M33">
    <cfRule type="containsText" dxfId="125" priority="31" operator="containsText" text="review">
      <formula>NOT(ISERROR(SEARCH("review",L33)))</formula>
    </cfRule>
  </conditionalFormatting>
  <conditionalFormatting sqref="L34:M34">
    <cfRule type="containsText" dxfId="124" priority="30" operator="containsText" text="review">
      <formula>NOT(ISERROR(SEARCH("review",L34)))</formula>
    </cfRule>
  </conditionalFormatting>
  <conditionalFormatting sqref="L35:M35">
    <cfRule type="containsText" dxfId="123" priority="29" operator="containsText" text="review">
      <formula>NOT(ISERROR(SEARCH("review",L35)))</formula>
    </cfRule>
  </conditionalFormatting>
  <conditionalFormatting sqref="L46:M46">
    <cfRule type="containsText" dxfId="122" priority="28" operator="containsText" text="review">
      <formula>NOT(ISERROR(SEARCH("review",L46)))</formula>
    </cfRule>
  </conditionalFormatting>
  <conditionalFormatting sqref="B32:K32 B18:K18 B16:K16 B4:K4 B67:K1048576 B47:K62 B36:K45 B20:K30 B2:K2 B7:K13">
    <cfRule type="containsText" dxfId="121" priority="27" operator="containsText" text="review">
      <formula>NOT(ISERROR(SEARCH("review",B2)))</formula>
    </cfRule>
  </conditionalFormatting>
  <conditionalFormatting sqref="B63:K63">
    <cfRule type="duplicateValues" dxfId="120" priority="26" stopIfTrue="1"/>
  </conditionalFormatting>
  <conditionalFormatting sqref="B64:K64">
    <cfRule type="duplicateValues" dxfId="119" priority="25" stopIfTrue="1"/>
  </conditionalFormatting>
  <conditionalFormatting sqref="B65:H65 K65">
    <cfRule type="duplicateValues" dxfId="118" priority="24" stopIfTrue="1"/>
  </conditionalFormatting>
  <conditionalFormatting sqref="B66:D66 G66:H66 K66">
    <cfRule type="duplicateValues" dxfId="117" priority="23" stopIfTrue="1"/>
  </conditionalFormatting>
  <conditionalFormatting sqref="B1:C1 F1:K1">
    <cfRule type="containsText" dxfId="116" priority="22" operator="containsText" text="review">
      <formula>NOT(ISERROR(SEARCH("review",B1)))</formula>
    </cfRule>
  </conditionalFormatting>
  <conditionalFormatting sqref="B3:K3">
    <cfRule type="containsText" dxfId="115" priority="21" operator="containsText" text="review">
      <formula>NOT(ISERROR(SEARCH("review",B3)))</formula>
    </cfRule>
  </conditionalFormatting>
  <conditionalFormatting sqref="B5:K5">
    <cfRule type="containsText" dxfId="114" priority="20" operator="containsText" text="review">
      <formula>NOT(ISERROR(SEARCH("review",B5)))</formula>
    </cfRule>
  </conditionalFormatting>
  <conditionalFormatting sqref="B6:K6">
    <cfRule type="containsText" dxfId="113" priority="19" operator="containsText" text="review">
      <formula>NOT(ISERROR(SEARCH("review",B6)))</formula>
    </cfRule>
  </conditionalFormatting>
  <conditionalFormatting sqref="B14:K14">
    <cfRule type="containsText" dxfId="112" priority="18" operator="containsText" text="review">
      <formula>NOT(ISERROR(SEARCH("review",B14)))</formula>
    </cfRule>
  </conditionalFormatting>
  <conditionalFormatting sqref="B15:K15">
    <cfRule type="containsText" dxfId="111" priority="17" operator="containsText" text="review">
      <formula>NOT(ISERROR(SEARCH("review",B15)))</formula>
    </cfRule>
  </conditionalFormatting>
  <conditionalFormatting sqref="B17:K17">
    <cfRule type="containsText" dxfId="110" priority="16" operator="containsText" text="review">
      <formula>NOT(ISERROR(SEARCH("review",B17)))</formula>
    </cfRule>
  </conditionalFormatting>
  <conditionalFormatting sqref="B19:K19">
    <cfRule type="containsText" dxfId="109" priority="15" operator="containsText" text="review">
      <formula>NOT(ISERROR(SEARCH("review",B19)))</formula>
    </cfRule>
  </conditionalFormatting>
  <conditionalFormatting sqref="B31:K31">
    <cfRule type="containsText" dxfId="108" priority="14" operator="containsText" text="review">
      <formula>NOT(ISERROR(SEARCH("review",B31)))</formula>
    </cfRule>
  </conditionalFormatting>
  <conditionalFormatting sqref="B33:K33">
    <cfRule type="containsText" dxfId="107" priority="13" operator="containsText" text="review">
      <formula>NOT(ISERROR(SEARCH("review",B33)))</formula>
    </cfRule>
  </conditionalFormatting>
  <conditionalFormatting sqref="B34:K34">
    <cfRule type="containsText" dxfId="106" priority="12" operator="containsText" text="review">
      <formula>NOT(ISERROR(SEARCH("review",B34)))</formula>
    </cfRule>
  </conditionalFormatting>
  <conditionalFormatting sqref="B35:K35">
    <cfRule type="containsText" dxfId="105" priority="11" operator="containsText" text="review">
      <formula>NOT(ISERROR(SEARCH("review",B35)))</formula>
    </cfRule>
  </conditionalFormatting>
  <conditionalFormatting sqref="B46:K46">
    <cfRule type="containsText" dxfId="104" priority="10" operator="containsText" text="review">
      <formula>NOT(ISERROR(SEARCH("review",B46)))</formula>
    </cfRule>
  </conditionalFormatting>
  <conditionalFormatting sqref="D1">
    <cfRule type="containsText" dxfId="103" priority="9" operator="containsText" text="review">
      <formula>NOT(ISERROR(SEARCH("review",D1)))</formula>
    </cfRule>
  </conditionalFormatting>
  <conditionalFormatting sqref="E1">
    <cfRule type="containsText" dxfId="102" priority="8" operator="containsText" text="review">
      <formula>NOT(ISERROR(SEARCH("review",E1)))</formula>
    </cfRule>
  </conditionalFormatting>
  <conditionalFormatting sqref="L63:M63 A63">
    <cfRule type="duplicateValues" dxfId="101" priority="66" stopIfTrue="1"/>
  </conditionalFormatting>
  <conditionalFormatting sqref="L64:M64 A64">
    <cfRule type="duplicateValues" dxfId="100" priority="69" stopIfTrue="1"/>
  </conditionalFormatting>
  <conditionalFormatting sqref="L65:M65 A65">
    <cfRule type="duplicateValues" dxfId="99" priority="72" stopIfTrue="1"/>
  </conditionalFormatting>
  <conditionalFormatting sqref="L66:M66 A66">
    <cfRule type="duplicateValues" dxfId="98" priority="75" stopIfTrue="1"/>
  </conditionalFormatting>
  <conditionalFormatting sqref="I65">
    <cfRule type="containsText" dxfId="97" priority="7" operator="containsText" text="review">
      <formula>NOT(ISERROR(SEARCH("review",I65)))</formula>
    </cfRule>
  </conditionalFormatting>
  <conditionalFormatting sqref="J65">
    <cfRule type="containsText" dxfId="96" priority="6" operator="containsText" text="review">
      <formula>NOT(ISERROR(SEARCH("review",J65)))</formula>
    </cfRule>
  </conditionalFormatting>
  <conditionalFormatting sqref="F66">
    <cfRule type="duplicateValues" dxfId="95" priority="4" stopIfTrue="1"/>
  </conditionalFormatting>
  <conditionalFormatting sqref="E66">
    <cfRule type="duplicateValues" dxfId="94" priority="3" stopIfTrue="1"/>
  </conditionalFormatting>
  <conditionalFormatting sqref="I66">
    <cfRule type="containsText" dxfId="93" priority="2" operator="containsText" text="review">
      <formula>NOT(ISERROR(SEARCH("review",I66)))</formula>
    </cfRule>
  </conditionalFormatting>
  <conditionalFormatting sqref="J66">
    <cfRule type="containsText" dxfId="92" priority="1" operator="containsText" text="review">
      <formula>NOT(ISERROR(SEARCH("review",J66)))</formula>
    </cfRule>
  </conditionalFormatting>
  <pageMargins left="0.75" right="0.75" top="1" bottom="1" header="0.5" footer="0.5"/>
  <pageSetup paperSize="9" scale="10" fitToWidth="0" fitToHeight="0" orientation="landscape" horizontalDpi="0"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CA532-079F-7C40-AD12-2478AA6CCFBB}">
  <dimension ref="A1:EZ35"/>
  <sheetViews>
    <sheetView zoomScale="130" zoomScaleNormal="130" workbookViewId="0">
      <pane ySplit="1" topLeftCell="A2" activePane="bottomLeft" state="frozen"/>
      <selection pane="bottomLeft" activeCell="X1" sqref="X1"/>
    </sheetView>
  </sheetViews>
  <sheetFormatPr baseColWidth="10" defaultRowHeight="16" x14ac:dyDescent="0.2"/>
  <cols>
    <col min="1" max="1" width="43.83203125" style="2" customWidth="1"/>
    <col min="2" max="2" width="19.5" style="2" customWidth="1"/>
    <col min="3" max="4" width="14.1640625" style="2" customWidth="1"/>
    <col min="5" max="5" width="19.6640625" style="2" customWidth="1"/>
    <col min="6" max="6" width="14.1640625" style="2" customWidth="1"/>
    <col min="7" max="7" width="21.6640625" style="2" customWidth="1"/>
    <col min="8" max="8" width="34.5" style="2" customWidth="1"/>
    <col min="9" max="9" width="15" style="2" customWidth="1"/>
    <col min="10" max="11" width="14.1640625" style="2" customWidth="1"/>
    <col min="12" max="12" width="17.6640625" style="2" customWidth="1"/>
    <col min="13" max="13" width="47.83203125" style="2" customWidth="1"/>
    <col min="14" max="14" width="120.6640625" style="7" customWidth="1"/>
    <col min="15" max="15" width="19.33203125" style="2" bestFit="1" customWidth="1"/>
    <col min="16" max="17" width="19.33203125" style="2" customWidth="1"/>
    <col min="18" max="18" width="43.1640625" style="2" customWidth="1"/>
    <col min="19" max="19" width="39.5" style="2" customWidth="1"/>
    <col min="20" max="20" width="13.83203125" customWidth="1"/>
  </cols>
  <sheetData>
    <row r="1" spans="1:48" s="4" customFormat="1" ht="44" x14ac:dyDescent="0.25">
      <c r="A1" s="3" t="s">
        <v>0</v>
      </c>
      <c r="B1" s="3" t="s">
        <v>684</v>
      </c>
      <c r="C1" s="3" t="s">
        <v>690</v>
      </c>
      <c r="D1" s="3" t="s">
        <v>685</v>
      </c>
      <c r="E1" s="3" t="s">
        <v>686</v>
      </c>
      <c r="F1" s="3" t="s">
        <v>691</v>
      </c>
      <c r="G1" s="3" t="s">
        <v>687</v>
      </c>
      <c r="H1" s="3" t="s">
        <v>688</v>
      </c>
      <c r="I1" s="3" t="s">
        <v>763</v>
      </c>
      <c r="J1" s="3" t="s">
        <v>776</v>
      </c>
      <c r="K1" s="3" t="s">
        <v>692</v>
      </c>
      <c r="L1" s="3" t="s">
        <v>689</v>
      </c>
      <c r="M1" s="3" t="s">
        <v>753</v>
      </c>
      <c r="N1" s="8" t="s">
        <v>456</v>
      </c>
      <c r="O1" s="3" t="s">
        <v>460</v>
      </c>
      <c r="P1" s="3" t="s">
        <v>461</v>
      </c>
      <c r="Q1" s="3" t="s">
        <v>462</v>
      </c>
      <c r="R1" s="3" t="s">
        <v>1</v>
      </c>
      <c r="S1" s="3" t="s">
        <v>2</v>
      </c>
      <c r="T1" s="4" t="s">
        <v>3</v>
      </c>
      <c r="U1" s="4" t="s">
        <v>4</v>
      </c>
      <c r="V1" s="4" t="s">
        <v>5</v>
      </c>
      <c r="W1" s="4" t="s">
        <v>6</v>
      </c>
      <c r="X1" s="4" t="s">
        <v>7</v>
      </c>
      <c r="Y1" s="4" t="s">
        <v>8</v>
      </c>
      <c r="Z1" s="4" t="s">
        <v>9</v>
      </c>
      <c r="AA1" s="4" t="s">
        <v>10</v>
      </c>
      <c r="AB1" s="4" t="s">
        <v>11</v>
      </c>
      <c r="AC1" s="4" t="s">
        <v>12</v>
      </c>
      <c r="AD1" s="4" t="s">
        <v>13</v>
      </c>
      <c r="AE1" s="4" t="s">
        <v>14</v>
      </c>
      <c r="AF1" s="4" t="s">
        <v>15</v>
      </c>
      <c r="AG1" s="4">
        <v>2008</v>
      </c>
      <c r="AH1" s="4">
        <v>2009</v>
      </c>
      <c r="AI1" s="4">
        <v>2010</v>
      </c>
      <c r="AJ1" s="4">
        <v>2011</v>
      </c>
      <c r="AK1" s="4">
        <v>2012</v>
      </c>
      <c r="AL1" s="4">
        <v>2013</v>
      </c>
      <c r="AM1" s="4">
        <v>2014</v>
      </c>
      <c r="AN1" s="4">
        <v>2015</v>
      </c>
      <c r="AO1" s="4">
        <v>2016</v>
      </c>
      <c r="AP1" s="4">
        <v>2017</v>
      </c>
      <c r="AQ1" s="4">
        <v>2018</v>
      </c>
      <c r="AR1" s="4">
        <v>2019</v>
      </c>
      <c r="AS1" s="4">
        <v>2020</v>
      </c>
      <c r="AT1" s="4">
        <v>2021</v>
      </c>
    </row>
    <row r="2" spans="1:48" ht="356" x14ac:dyDescent="0.2">
      <c r="A2" s="2" t="s">
        <v>48</v>
      </c>
      <c r="B2" s="2" t="s">
        <v>754</v>
      </c>
      <c r="C2" s="2" t="s">
        <v>459</v>
      </c>
      <c r="D2" s="2" t="s">
        <v>700</v>
      </c>
      <c r="E2" s="2" t="s">
        <v>756</v>
      </c>
      <c r="F2" s="2" t="s">
        <v>459</v>
      </c>
      <c r="G2" s="2" t="s">
        <v>755</v>
      </c>
      <c r="H2" s="2" t="s">
        <v>757</v>
      </c>
      <c r="I2" s="2" t="s">
        <v>459</v>
      </c>
      <c r="J2" s="2" t="s">
        <v>459</v>
      </c>
      <c r="K2" s="2" t="s">
        <v>758</v>
      </c>
      <c r="L2" s="2" t="s">
        <v>758</v>
      </c>
      <c r="M2" s="2" t="s">
        <v>759</v>
      </c>
      <c r="N2" s="7" t="s">
        <v>449</v>
      </c>
      <c r="O2" s="2" t="s">
        <v>458</v>
      </c>
      <c r="P2" s="2" t="s">
        <v>459</v>
      </c>
      <c r="Q2" s="2" t="s">
        <v>459</v>
      </c>
      <c r="R2" s="2" t="s">
        <v>49</v>
      </c>
      <c r="S2" s="2" t="s">
        <v>448</v>
      </c>
      <c r="T2">
        <v>2020</v>
      </c>
      <c r="U2">
        <v>22</v>
      </c>
      <c r="V2">
        <v>12</v>
      </c>
      <c r="AE2">
        <v>0</v>
      </c>
      <c r="AF2">
        <v>0</v>
      </c>
      <c r="AG2">
        <v>0</v>
      </c>
      <c r="AH2">
        <v>0</v>
      </c>
      <c r="AI2">
        <v>0</v>
      </c>
      <c r="AJ2">
        <v>0</v>
      </c>
      <c r="AK2">
        <v>0</v>
      </c>
      <c r="AL2">
        <v>0</v>
      </c>
      <c r="AM2">
        <v>0</v>
      </c>
      <c r="AN2">
        <v>0</v>
      </c>
      <c r="AO2">
        <v>0</v>
      </c>
      <c r="AP2">
        <v>0</v>
      </c>
      <c r="AQ2">
        <v>0</v>
      </c>
      <c r="AR2">
        <v>0</v>
      </c>
      <c r="AS2">
        <v>0</v>
      </c>
      <c r="AT2">
        <v>0</v>
      </c>
    </row>
    <row r="3" spans="1:48" s="12" customFormat="1" ht="409.5" x14ac:dyDescent="0.2">
      <c r="A3" s="10" t="s">
        <v>51</v>
      </c>
      <c r="B3" s="10" t="s">
        <v>754</v>
      </c>
      <c r="C3" s="10" t="s">
        <v>459</v>
      </c>
      <c r="D3" s="10" t="s">
        <v>700</v>
      </c>
      <c r="E3" s="10" t="s">
        <v>760</v>
      </c>
      <c r="F3" s="10" t="s">
        <v>458</v>
      </c>
      <c r="G3" s="10" t="s">
        <v>761</v>
      </c>
      <c r="H3" s="10" t="s">
        <v>765</v>
      </c>
      <c r="I3" s="10" t="s">
        <v>459</v>
      </c>
      <c r="J3" s="10" t="s">
        <v>458</v>
      </c>
      <c r="K3" s="10" t="s">
        <v>758</v>
      </c>
      <c r="L3" s="10" t="s">
        <v>762</v>
      </c>
      <c r="M3" s="10" t="s">
        <v>764</v>
      </c>
      <c r="N3" s="11" t="s">
        <v>453</v>
      </c>
      <c r="O3" s="10" t="s">
        <v>458</v>
      </c>
      <c r="P3" s="10" t="s">
        <v>458</v>
      </c>
      <c r="Q3" s="10" t="s">
        <v>458</v>
      </c>
      <c r="R3" s="10" t="s">
        <v>52</v>
      </c>
      <c r="S3" s="10" t="s">
        <v>53</v>
      </c>
      <c r="T3" s="12">
        <v>2008</v>
      </c>
      <c r="U3" s="12">
        <v>64</v>
      </c>
      <c r="V3" s="12">
        <v>2</v>
      </c>
      <c r="Y3" s="12">
        <v>255</v>
      </c>
      <c r="Z3" s="12">
        <v>263</v>
      </c>
      <c r="AB3" s="12" t="s">
        <v>54</v>
      </c>
      <c r="AC3" s="12" t="s">
        <v>55</v>
      </c>
      <c r="AD3" s="12" t="s">
        <v>56</v>
      </c>
      <c r="AE3" s="12">
        <v>2007</v>
      </c>
      <c r="AF3" s="12">
        <v>81</v>
      </c>
      <c r="AG3" s="12">
        <v>5</v>
      </c>
      <c r="AH3" s="12">
        <v>79</v>
      </c>
      <c r="AI3" s="12">
        <v>3</v>
      </c>
      <c r="AJ3" s="12">
        <v>3</v>
      </c>
      <c r="AK3" s="12">
        <v>16</v>
      </c>
      <c r="AL3" s="12">
        <v>9</v>
      </c>
      <c r="AM3" s="12">
        <v>7</v>
      </c>
      <c r="AN3" s="12">
        <v>5</v>
      </c>
      <c r="AO3" s="12">
        <v>5</v>
      </c>
      <c r="AP3" s="12">
        <v>5</v>
      </c>
      <c r="AQ3" s="12">
        <v>5</v>
      </c>
      <c r="AR3" s="12">
        <v>5</v>
      </c>
      <c r="AS3" s="12">
        <v>4</v>
      </c>
      <c r="AT3" s="12">
        <v>7</v>
      </c>
      <c r="AU3" s="12">
        <v>6</v>
      </c>
      <c r="AV3" s="12">
        <v>1</v>
      </c>
    </row>
    <row r="4" spans="1:48" ht="221" x14ac:dyDescent="0.2">
      <c r="A4" s="2" t="s">
        <v>61</v>
      </c>
      <c r="B4" s="2" t="s">
        <v>766</v>
      </c>
      <c r="C4" s="2" t="s">
        <v>459</v>
      </c>
      <c r="D4" s="2" t="s">
        <v>700</v>
      </c>
      <c r="E4" s="2" t="s">
        <v>769</v>
      </c>
      <c r="F4" s="2" t="s">
        <v>458</v>
      </c>
      <c r="G4" s="2" t="s">
        <v>767</v>
      </c>
      <c r="H4" s="2" t="s">
        <v>768</v>
      </c>
      <c r="I4" s="2" t="s">
        <v>459</v>
      </c>
      <c r="J4" s="2" t="s">
        <v>458</v>
      </c>
      <c r="K4" s="2" t="s">
        <v>758</v>
      </c>
      <c r="L4" s="2" t="s">
        <v>770</v>
      </c>
      <c r="M4" s="2" t="s">
        <v>771</v>
      </c>
      <c r="N4" s="7" t="s">
        <v>455</v>
      </c>
      <c r="O4" s="2" t="s">
        <v>459</v>
      </c>
      <c r="R4" s="2" t="s">
        <v>62</v>
      </c>
      <c r="S4" s="2" t="s">
        <v>45</v>
      </c>
      <c r="T4">
        <v>2012</v>
      </c>
      <c r="U4">
        <v>69</v>
      </c>
      <c r="V4">
        <v>2</v>
      </c>
      <c r="Y4">
        <v>242</v>
      </c>
      <c r="Z4">
        <v>248</v>
      </c>
      <c r="AB4" t="s">
        <v>63</v>
      </c>
      <c r="AE4">
        <v>77</v>
      </c>
      <c r="AF4">
        <v>7</v>
      </c>
      <c r="AG4">
        <v>7</v>
      </c>
      <c r="AH4">
        <v>0</v>
      </c>
      <c r="AI4">
        <v>0</v>
      </c>
      <c r="AJ4">
        <v>0</v>
      </c>
      <c r="AK4">
        <v>0</v>
      </c>
      <c r="AL4">
        <v>3</v>
      </c>
      <c r="AM4">
        <v>4</v>
      </c>
      <c r="AN4">
        <v>7</v>
      </c>
      <c r="AO4">
        <v>10</v>
      </c>
      <c r="AP4">
        <v>12</v>
      </c>
      <c r="AQ4">
        <v>10</v>
      </c>
      <c r="AR4">
        <v>10</v>
      </c>
      <c r="AS4">
        <v>5</v>
      </c>
      <c r="AT4">
        <v>15</v>
      </c>
      <c r="AU4">
        <v>1</v>
      </c>
    </row>
    <row r="5" spans="1:48" ht="136" x14ac:dyDescent="0.2">
      <c r="A5" s="2" t="s">
        <v>64</v>
      </c>
      <c r="B5" s="2" t="s">
        <v>710</v>
      </c>
      <c r="C5" s="2" t="s">
        <v>459</v>
      </c>
      <c r="D5" s="2" t="s">
        <v>711</v>
      </c>
      <c r="E5" s="2" t="s">
        <v>772</v>
      </c>
      <c r="F5" s="2" t="s">
        <v>459</v>
      </c>
      <c r="G5" s="2" t="s">
        <v>712</v>
      </c>
      <c r="H5" s="2" t="s">
        <v>713</v>
      </c>
      <c r="I5" s="2" t="s">
        <v>459</v>
      </c>
      <c r="J5" s="2" t="s">
        <v>458</v>
      </c>
      <c r="K5" s="2" t="s">
        <v>758</v>
      </c>
      <c r="L5" s="2" t="s">
        <v>714</v>
      </c>
      <c r="M5" s="2" t="s">
        <v>773</v>
      </c>
      <c r="N5" s="7" t="s">
        <v>464</v>
      </c>
      <c r="O5" s="2" t="s">
        <v>458</v>
      </c>
      <c r="P5" s="2" t="s">
        <v>458</v>
      </c>
      <c r="Q5" s="2" t="s">
        <v>459</v>
      </c>
      <c r="R5" s="2" t="s">
        <v>65</v>
      </c>
      <c r="S5" s="2" t="s">
        <v>66</v>
      </c>
      <c r="T5">
        <v>2013</v>
      </c>
      <c r="U5">
        <v>84</v>
      </c>
      <c r="V5">
        <v>1</v>
      </c>
      <c r="Y5">
        <v>78</v>
      </c>
      <c r="Z5">
        <v>84</v>
      </c>
      <c r="AB5" t="s">
        <v>67</v>
      </c>
      <c r="AE5">
        <v>44</v>
      </c>
      <c r="AF5">
        <v>4</v>
      </c>
      <c r="AG5">
        <v>89</v>
      </c>
      <c r="AH5">
        <v>0</v>
      </c>
      <c r="AI5">
        <v>0</v>
      </c>
      <c r="AJ5">
        <v>0</v>
      </c>
      <c r="AK5">
        <v>0</v>
      </c>
      <c r="AL5">
        <v>0</v>
      </c>
      <c r="AM5">
        <v>5</v>
      </c>
      <c r="AN5">
        <v>5</v>
      </c>
      <c r="AO5">
        <v>4</v>
      </c>
      <c r="AP5">
        <v>8</v>
      </c>
      <c r="AQ5">
        <v>5</v>
      </c>
      <c r="AR5">
        <v>4</v>
      </c>
      <c r="AS5">
        <v>6</v>
      </c>
      <c r="AT5">
        <v>6</v>
      </c>
      <c r="AU5">
        <v>1</v>
      </c>
    </row>
    <row r="6" spans="1:48" ht="244" customHeight="1" x14ac:dyDescent="0.2">
      <c r="A6" s="2" t="s">
        <v>68</v>
      </c>
      <c r="B6" s="2" t="s">
        <v>774</v>
      </c>
      <c r="C6" s="2" t="s">
        <v>458</v>
      </c>
      <c r="D6" s="2" t="s">
        <v>711</v>
      </c>
      <c r="E6" s="2" t="s">
        <v>715</v>
      </c>
      <c r="F6" s="2" t="s">
        <v>458</v>
      </c>
      <c r="G6" s="2" t="s">
        <v>716</v>
      </c>
      <c r="H6" s="2" t="s">
        <v>717</v>
      </c>
      <c r="I6" s="2" t="s">
        <v>459</v>
      </c>
      <c r="J6" s="2" t="s">
        <v>458</v>
      </c>
      <c r="K6" s="2" t="s">
        <v>758</v>
      </c>
      <c r="L6" s="2" t="s">
        <v>718</v>
      </c>
      <c r="N6" s="7" t="s">
        <v>465</v>
      </c>
      <c r="O6" s="2" t="s">
        <v>458</v>
      </c>
      <c r="P6" s="2" t="s">
        <v>458</v>
      </c>
      <c r="Q6" s="2" t="s">
        <v>459</v>
      </c>
      <c r="R6" s="2" t="s">
        <v>69</v>
      </c>
      <c r="S6" s="2" t="s">
        <v>70</v>
      </c>
      <c r="T6">
        <v>2010</v>
      </c>
      <c r="U6">
        <v>27</v>
      </c>
      <c r="V6">
        <v>10</v>
      </c>
      <c r="Y6">
        <v>734</v>
      </c>
      <c r="Z6">
        <v>738</v>
      </c>
      <c r="AB6" t="s">
        <v>71</v>
      </c>
      <c r="AE6">
        <v>43</v>
      </c>
      <c r="AF6">
        <v>3</v>
      </c>
      <c r="AG6">
        <v>58</v>
      </c>
      <c r="AH6">
        <v>0</v>
      </c>
      <c r="AI6">
        <v>0</v>
      </c>
      <c r="AJ6">
        <v>0</v>
      </c>
      <c r="AK6">
        <v>2</v>
      </c>
      <c r="AL6">
        <v>3</v>
      </c>
      <c r="AM6">
        <v>6</v>
      </c>
      <c r="AN6">
        <v>7</v>
      </c>
      <c r="AO6">
        <v>1</v>
      </c>
      <c r="AP6">
        <v>5</v>
      </c>
      <c r="AQ6">
        <v>3</v>
      </c>
      <c r="AR6">
        <v>3</v>
      </c>
      <c r="AS6">
        <v>6</v>
      </c>
      <c r="AT6">
        <v>7</v>
      </c>
      <c r="AU6">
        <v>0</v>
      </c>
    </row>
    <row r="7" spans="1:48" s="12" customFormat="1" ht="221" x14ac:dyDescent="0.2">
      <c r="A7" s="10" t="s">
        <v>76</v>
      </c>
      <c r="B7" s="10" t="s">
        <v>719</v>
      </c>
      <c r="C7" s="10" t="s">
        <v>463</v>
      </c>
      <c r="D7" s="10" t="s">
        <v>700</v>
      </c>
      <c r="E7" s="10" t="s">
        <v>720</v>
      </c>
      <c r="F7" s="10" t="s">
        <v>459</v>
      </c>
      <c r="G7" s="10" t="s">
        <v>721</v>
      </c>
      <c r="H7" s="10" t="s">
        <v>722</v>
      </c>
      <c r="I7" s="10" t="s">
        <v>777</v>
      </c>
      <c r="J7" s="10" t="s">
        <v>458</v>
      </c>
      <c r="K7" s="10" t="s">
        <v>758</v>
      </c>
      <c r="L7" s="10" t="s">
        <v>723</v>
      </c>
      <c r="M7" s="10"/>
      <c r="N7" s="11" t="s">
        <v>467</v>
      </c>
      <c r="O7" s="10" t="s">
        <v>458</v>
      </c>
      <c r="P7" s="10" t="s">
        <v>458</v>
      </c>
      <c r="Q7" s="10" t="s">
        <v>459</v>
      </c>
      <c r="R7" s="10" t="s">
        <v>77</v>
      </c>
      <c r="S7" s="10" t="s">
        <v>468</v>
      </c>
      <c r="T7" s="12">
        <v>2018</v>
      </c>
      <c r="U7" s="12">
        <v>215</v>
      </c>
      <c r="V7" s="12">
        <v>1</v>
      </c>
      <c r="Y7" s="12">
        <v>42</v>
      </c>
      <c r="Z7" s="12">
        <v>47</v>
      </c>
      <c r="AB7" s="12" t="s">
        <v>78</v>
      </c>
      <c r="AE7" s="12">
        <v>27</v>
      </c>
      <c r="AF7" s="12">
        <v>6</v>
      </c>
      <c r="AG7" s="12">
        <v>75</v>
      </c>
      <c r="AH7" s="12">
        <v>0</v>
      </c>
      <c r="AI7" s="12">
        <v>0</v>
      </c>
      <c r="AJ7" s="12">
        <v>0</v>
      </c>
      <c r="AK7" s="12">
        <v>0</v>
      </c>
      <c r="AL7" s="12">
        <v>0</v>
      </c>
      <c r="AM7" s="12">
        <v>0</v>
      </c>
      <c r="AN7" s="12">
        <v>0</v>
      </c>
      <c r="AO7" s="12">
        <v>0</v>
      </c>
      <c r="AP7" s="12">
        <v>0</v>
      </c>
      <c r="AQ7" s="12">
        <v>0</v>
      </c>
      <c r="AR7" s="12">
        <v>5</v>
      </c>
      <c r="AS7" s="12">
        <v>7</v>
      </c>
      <c r="AT7" s="12">
        <v>13</v>
      </c>
      <c r="AU7" s="12">
        <v>2</v>
      </c>
    </row>
    <row r="8" spans="1:48" ht="323" x14ac:dyDescent="0.2">
      <c r="A8" s="2" t="s">
        <v>104</v>
      </c>
      <c r="B8" s="2" t="s">
        <v>786</v>
      </c>
      <c r="C8" s="2" t="s">
        <v>463</v>
      </c>
      <c r="D8" s="2" t="s">
        <v>711</v>
      </c>
      <c r="E8" s="2" t="s">
        <v>783</v>
      </c>
      <c r="F8" s="2" t="s">
        <v>459</v>
      </c>
      <c r="G8" s="2" t="s">
        <v>784</v>
      </c>
      <c r="H8" s="2" t="s">
        <v>785</v>
      </c>
      <c r="I8" s="2" t="s">
        <v>459</v>
      </c>
      <c r="J8" s="2" t="s">
        <v>458</v>
      </c>
      <c r="K8" s="2" t="s">
        <v>758</v>
      </c>
      <c r="L8" s="2" t="s">
        <v>788</v>
      </c>
      <c r="M8" s="35" t="s">
        <v>787</v>
      </c>
      <c r="N8" s="7" t="s">
        <v>476</v>
      </c>
      <c r="O8" s="2" t="s">
        <v>458</v>
      </c>
      <c r="P8" s="2" t="s">
        <v>458</v>
      </c>
      <c r="Q8" s="2" t="s">
        <v>458</v>
      </c>
      <c r="R8" s="2" t="s">
        <v>105</v>
      </c>
      <c r="S8" s="2" t="s">
        <v>66</v>
      </c>
      <c r="T8">
        <v>2013</v>
      </c>
      <c r="U8">
        <v>84</v>
      </c>
      <c r="V8">
        <v>7</v>
      </c>
      <c r="Y8">
        <v>992</v>
      </c>
      <c r="Z8">
        <v>998</v>
      </c>
      <c r="AB8" t="s">
        <v>106</v>
      </c>
      <c r="AE8">
        <v>18</v>
      </c>
      <c r="AF8">
        <v>2</v>
      </c>
      <c r="AG8">
        <v>0</v>
      </c>
      <c r="AH8">
        <v>0</v>
      </c>
      <c r="AI8">
        <v>0</v>
      </c>
      <c r="AJ8">
        <v>0</v>
      </c>
      <c r="AK8">
        <v>0</v>
      </c>
      <c r="AL8">
        <v>0</v>
      </c>
      <c r="AM8">
        <v>3</v>
      </c>
      <c r="AN8">
        <v>4</v>
      </c>
      <c r="AO8">
        <v>0</v>
      </c>
      <c r="AP8">
        <v>1</v>
      </c>
      <c r="AQ8">
        <v>1</v>
      </c>
      <c r="AR8">
        <v>6</v>
      </c>
      <c r="AS8">
        <v>3</v>
      </c>
      <c r="AT8">
        <v>0</v>
      </c>
    </row>
    <row r="9" spans="1:48" ht="272" x14ac:dyDescent="0.2">
      <c r="A9" s="2" t="s">
        <v>117</v>
      </c>
      <c r="B9" s="2" t="s">
        <v>797</v>
      </c>
      <c r="C9" s="2" t="s">
        <v>463</v>
      </c>
      <c r="D9" s="2" t="s">
        <v>700</v>
      </c>
      <c r="E9" s="2" t="s">
        <v>794</v>
      </c>
      <c r="F9" s="2" t="s">
        <v>458</v>
      </c>
      <c r="G9" s="2" t="s">
        <v>796</v>
      </c>
      <c r="H9" s="2" t="s">
        <v>795</v>
      </c>
      <c r="I9" s="2" t="s">
        <v>459</v>
      </c>
      <c r="J9" s="2" t="s">
        <v>458</v>
      </c>
      <c r="K9" s="2" t="s">
        <v>758</v>
      </c>
      <c r="L9" s="2" t="s">
        <v>798</v>
      </c>
      <c r="N9" s="7" t="s">
        <v>479</v>
      </c>
      <c r="O9" s="2" t="s">
        <v>458</v>
      </c>
      <c r="P9" s="2" t="s">
        <v>458</v>
      </c>
      <c r="Q9" s="2" t="s">
        <v>458</v>
      </c>
      <c r="R9" s="2" t="s">
        <v>118</v>
      </c>
      <c r="S9" s="2" t="s">
        <v>45</v>
      </c>
      <c r="T9">
        <v>2016</v>
      </c>
      <c r="U9">
        <v>73</v>
      </c>
      <c r="V9">
        <v>1</v>
      </c>
      <c r="Y9">
        <v>121</v>
      </c>
      <c r="Z9">
        <v>128</v>
      </c>
      <c r="AB9" t="s">
        <v>119</v>
      </c>
      <c r="AE9">
        <v>16</v>
      </c>
      <c r="AF9">
        <v>2</v>
      </c>
      <c r="AG9">
        <v>67</v>
      </c>
      <c r="AH9">
        <v>0</v>
      </c>
      <c r="AI9">
        <v>0</v>
      </c>
      <c r="AJ9">
        <v>0</v>
      </c>
      <c r="AK9">
        <v>0</v>
      </c>
      <c r="AL9">
        <v>0</v>
      </c>
      <c r="AM9">
        <v>0</v>
      </c>
      <c r="AN9">
        <v>0</v>
      </c>
      <c r="AO9">
        <v>0</v>
      </c>
      <c r="AP9">
        <v>1</v>
      </c>
      <c r="AQ9">
        <v>2</v>
      </c>
      <c r="AR9">
        <v>4</v>
      </c>
      <c r="AS9">
        <v>4</v>
      </c>
      <c r="AT9">
        <v>4</v>
      </c>
      <c r="AU9">
        <v>1</v>
      </c>
    </row>
    <row r="10" spans="1:48" s="12" customFormat="1" ht="272" x14ac:dyDescent="0.2">
      <c r="A10" s="10" t="s">
        <v>120</v>
      </c>
      <c r="B10" s="10" t="s">
        <v>799</v>
      </c>
      <c r="C10" s="10" t="s">
        <v>459</v>
      </c>
      <c r="D10" s="10" t="s">
        <v>700</v>
      </c>
      <c r="E10" s="10" t="s">
        <v>801</v>
      </c>
      <c r="F10" s="10" t="s">
        <v>459</v>
      </c>
      <c r="G10" s="10" t="s">
        <v>802</v>
      </c>
      <c r="H10" s="10" t="s">
        <v>800</v>
      </c>
      <c r="I10" s="10" t="s">
        <v>459</v>
      </c>
      <c r="J10" s="10" t="s">
        <v>458</v>
      </c>
      <c r="K10" s="10" t="s">
        <v>758</v>
      </c>
      <c r="L10" s="10" t="s">
        <v>803</v>
      </c>
      <c r="M10" s="10"/>
      <c r="N10" s="11" t="s">
        <v>480</v>
      </c>
      <c r="O10" s="10" t="s">
        <v>458</v>
      </c>
      <c r="P10" s="10" t="s">
        <v>458</v>
      </c>
      <c r="Q10" s="10" t="s">
        <v>458</v>
      </c>
      <c r="R10" s="10" t="s">
        <v>121</v>
      </c>
      <c r="S10" s="10" t="s">
        <v>481</v>
      </c>
      <c r="T10" s="12">
        <v>2015</v>
      </c>
      <c r="U10" s="12">
        <v>46</v>
      </c>
      <c r="V10" s="12">
        <v>9</v>
      </c>
      <c r="Y10" s="12">
        <v>1796</v>
      </c>
      <c r="Z10" s="12">
        <v>1800</v>
      </c>
      <c r="AB10" s="12" t="s">
        <v>122</v>
      </c>
      <c r="AE10" s="12">
        <v>16</v>
      </c>
      <c r="AF10" s="12">
        <v>2</v>
      </c>
      <c r="AG10" s="12">
        <v>29</v>
      </c>
      <c r="AH10" s="12">
        <v>0</v>
      </c>
      <c r="AI10" s="12">
        <v>0</v>
      </c>
      <c r="AJ10" s="12">
        <v>0</v>
      </c>
      <c r="AK10" s="12">
        <v>0</v>
      </c>
      <c r="AL10" s="12">
        <v>0</v>
      </c>
      <c r="AM10" s="12">
        <v>0</v>
      </c>
      <c r="AN10" s="12">
        <v>0</v>
      </c>
      <c r="AO10" s="12">
        <v>0</v>
      </c>
      <c r="AP10" s="12">
        <v>4</v>
      </c>
      <c r="AQ10" s="12">
        <v>2</v>
      </c>
      <c r="AR10" s="12">
        <v>5</v>
      </c>
      <c r="AS10" s="12">
        <v>2</v>
      </c>
      <c r="AT10" s="12">
        <v>2</v>
      </c>
      <c r="AU10" s="12">
        <v>1</v>
      </c>
    </row>
    <row r="11" spans="1:48" ht="289" x14ac:dyDescent="0.2">
      <c r="A11" s="2" t="s">
        <v>139</v>
      </c>
      <c r="B11" s="2" t="s">
        <v>809</v>
      </c>
      <c r="C11" s="2" t="s">
        <v>459</v>
      </c>
      <c r="D11" s="2" t="s">
        <v>700</v>
      </c>
      <c r="E11" s="2" t="s">
        <v>810</v>
      </c>
      <c r="F11" s="2" t="s">
        <v>459</v>
      </c>
      <c r="G11" s="2" t="s">
        <v>812</v>
      </c>
      <c r="H11" s="2" t="s">
        <v>811</v>
      </c>
      <c r="I11" s="2" t="s">
        <v>459</v>
      </c>
      <c r="J11" s="2" t="s">
        <v>458</v>
      </c>
      <c r="K11" s="2" t="s">
        <v>758</v>
      </c>
      <c r="L11" s="2" t="s">
        <v>813</v>
      </c>
      <c r="N11" s="7" t="s">
        <v>486</v>
      </c>
      <c r="O11" s="2" t="s">
        <v>458</v>
      </c>
      <c r="P11" s="2" t="s">
        <v>458</v>
      </c>
      <c r="Q11" s="2" t="s">
        <v>458</v>
      </c>
      <c r="R11" s="2" t="s">
        <v>140</v>
      </c>
      <c r="S11" s="2" t="s">
        <v>141</v>
      </c>
      <c r="T11">
        <v>2010</v>
      </c>
      <c r="U11">
        <v>34</v>
      </c>
      <c r="V11">
        <v>1</v>
      </c>
      <c r="Y11">
        <v>164</v>
      </c>
      <c r="Z11">
        <v>168</v>
      </c>
      <c r="AB11" t="s">
        <v>142</v>
      </c>
      <c r="AE11">
        <v>14</v>
      </c>
      <c r="AF11">
        <v>1</v>
      </c>
      <c r="AG11">
        <v>17</v>
      </c>
      <c r="AH11">
        <v>0</v>
      </c>
      <c r="AI11">
        <v>0</v>
      </c>
      <c r="AJ11">
        <v>0</v>
      </c>
      <c r="AK11">
        <v>1</v>
      </c>
      <c r="AL11">
        <v>1</v>
      </c>
      <c r="AM11">
        <v>2</v>
      </c>
      <c r="AN11">
        <v>0</v>
      </c>
      <c r="AO11">
        <v>2</v>
      </c>
      <c r="AP11">
        <v>3</v>
      </c>
      <c r="AQ11">
        <v>1</v>
      </c>
      <c r="AR11">
        <v>1</v>
      </c>
      <c r="AS11">
        <v>1</v>
      </c>
      <c r="AT11">
        <v>2</v>
      </c>
      <c r="AU11">
        <v>0</v>
      </c>
    </row>
    <row r="12" spans="1:48" ht="255" x14ac:dyDescent="0.2">
      <c r="A12" s="2" t="s">
        <v>146</v>
      </c>
      <c r="B12" s="2" t="s">
        <v>815</v>
      </c>
      <c r="C12" s="2" t="s">
        <v>459</v>
      </c>
      <c r="D12" s="2" t="s">
        <v>694</v>
      </c>
      <c r="E12" s="2" t="s">
        <v>816</v>
      </c>
      <c r="F12" s="2" t="s">
        <v>458</v>
      </c>
      <c r="G12" s="2" t="s">
        <v>814</v>
      </c>
      <c r="H12" s="2" t="s">
        <v>817</v>
      </c>
      <c r="I12" s="2" t="s">
        <v>459</v>
      </c>
      <c r="J12" s="2" t="s">
        <v>459</v>
      </c>
      <c r="K12" s="2" t="s">
        <v>758</v>
      </c>
      <c r="L12" s="2" t="s">
        <v>818</v>
      </c>
      <c r="N12" s="7" t="s">
        <v>488</v>
      </c>
      <c r="O12" s="2" t="s">
        <v>458</v>
      </c>
      <c r="P12" s="2" t="s">
        <v>459</v>
      </c>
      <c r="Q12" s="2" t="s">
        <v>459</v>
      </c>
      <c r="R12" s="2" t="s">
        <v>147</v>
      </c>
      <c r="S12" s="2" t="s">
        <v>22</v>
      </c>
      <c r="T12">
        <v>2010</v>
      </c>
      <c r="U12">
        <v>18</v>
      </c>
      <c r="AA12">
        <v>13</v>
      </c>
      <c r="AB12" t="s">
        <v>148</v>
      </c>
      <c r="AE12">
        <v>13</v>
      </c>
      <c r="AF12">
        <v>1</v>
      </c>
      <c r="AG12">
        <v>8</v>
      </c>
      <c r="AH12">
        <v>0</v>
      </c>
      <c r="AI12">
        <v>0</v>
      </c>
      <c r="AJ12">
        <v>0</v>
      </c>
      <c r="AK12">
        <v>1</v>
      </c>
      <c r="AL12">
        <v>1</v>
      </c>
      <c r="AM12">
        <v>2</v>
      </c>
      <c r="AN12">
        <v>2</v>
      </c>
      <c r="AO12">
        <v>2</v>
      </c>
      <c r="AP12">
        <v>2</v>
      </c>
      <c r="AQ12">
        <v>0</v>
      </c>
      <c r="AR12">
        <v>2</v>
      </c>
      <c r="AS12">
        <v>0</v>
      </c>
      <c r="AT12">
        <v>0</v>
      </c>
      <c r="AU12">
        <v>1</v>
      </c>
    </row>
    <row r="13" spans="1:48" ht="340" x14ac:dyDescent="0.2">
      <c r="A13" s="2" t="s">
        <v>153</v>
      </c>
      <c r="B13" s="2" t="s">
        <v>766</v>
      </c>
      <c r="C13" s="2" t="s">
        <v>459</v>
      </c>
      <c r="D13" s="2" t="s">
        <v>700</v>
      </c>
      <c r="E13" s="2" t="s">
        <v>820</v>
      </c>
      <c r="F13" s="2" t="s">
        <v>458</v>
      </c>
      <c r="G13" s="2" t="s">
        <v>821</v>
      </c>
      <c r="H13" s="2" t="s">
        <v>819</v>
      </c>
      <c r="I13" s="2" t="s">
        <v>459</v>
      </c>
      <c r="J13" s="2" t="s">
        <v>458</v>
      </c>
      <c r="K13" s="2" t="s">
        <v>758</v>
      </c>
      <c r="L13" s="2" t="s">
        <v>822</v>
      </c>
      <c r="N13" s="7" t="s">
        <v>492</v>
      </c>
      <c r="O13" s="2" t="s">
        <v>491</v>
      </c>
      <c r="P13" s="2" t="s">
        <v>459</v>
      </c>
      <c r="Q13" s="2" t="s">
        <v>459</v>
      </c>
      <c r="R13" s="2" t="s">
        <v>154</v>
      </c>
      <c r="S13" s="2" t="s">
        <v>155</v>
      </c>
      <c r="T13">
        <v>2013</v>
      </c>
      <c r="U13">
        <v>154</v>
      </c>
      <c r="V13">
        <v>2</v>
      </c>
      <c r="Y13">
        <v>345</v>
      </c>
      <c r="Z13">
        <v>350</v>
      </c>
      <c r="AB13" t="s">
        <v>156</v>
      </c>
      <c r="AE13">
        <v>12</v>
      </c>
      <c r="AF13">
        <v>1</v>
      </c>
      <c r="AG13">
        <v>33</v>
      </c>
      <c r="AH13">
        <v>0</v>
      </c>
      <c r="AI13">
        <v>0</v>
      </c>
      <c r="AJ13">
        <v>0</v>
      </c>
      <c r="AK13">
        <v>0</v>
      </c>
      <c r="AL13">
        <v>0</v>
      </c>
      <c r="AM13">
        <v>0</v>
      </c>
      <c r="AN13">
        <v>1</v>
      </c>
      <c r="AO13">
        <v>3</v>
      </c>
      <c r="AP13">
        <v>4</v>
      </c>
      <c r="AQ13">
        <v>2</v>
      </c>
      <c r="AR13">
        <v>1</v>
      </c>
      <c r="AS13">
        <v>1</v>
      </c>
      <c r="AT13">
        <v>0</v>
      </c>
      <c r="AU13">
        <v>0</v>
      </c>
    </row>
    <row r="14" spans="1:48" ht="388" x14ac:dyDescent="0.2">
      <c r="A14" s="2" t="s">
        <v>166</v>
      </c>
      <c r="B14" s="2" t="s">
        <v>826</v>
      </c>
      <c r="C14" s="2" t="s">
        <v>459</v>
      </c>
      <c r="D14" s="2" t="s">
        <v>711</v>
      </c>
      <c r="E14" s="2" t="s">
        <v>823</v>
      </c>
      <c r="F14" s="2" t="s">
        <v>459</v>
      </c>
      <c r="G14" s="2" t="s">
        <v>824</v>
      </c>
      <c r="H14" s="2" t="s">
        <v>825</v>
      </c>
      <c r="I14" s="2" t="s">
        <v>459</v>
      </c>
      <c r="J14" s="2" t="s">
        <v>458</v>
      </c>
      <c r="K14" s="2" t="s">
        <v>758</v>
      </c>
      <c r="L14" s="2" t="s">
        <v>827</v>
      </c>
      <c r="N14" s="7" t="s">
        <v>495</v>
      </c>
      <c r="O14" s="2" t="s">
        <v>496</v>
      </c>
      <c r="P14" s="2" t="s">
        <v>458</v>
      </c>
      <c r="Q14" s="2" t="s">
        <v>458</v>
      </c>
      <c r="R14" s="2" t="s">
        <v>167</v>
      </c>
      <c r="S14" s="2" t="s">
        <v>164</v>
      </c>
      <c r="T14">
        <v>2014</v>
      </c>
      <c r="U14">
        <v>40</v>
      </c>
      <c r="V14">
        <v>4</v>
      </c>
      <c r="Y14">
        <v>429</v>
      </c>
      <c r="Z14">
        <v>443</v>
      </c>
      <c r="AB14" t="s">
        <v>168</v>
      </c>
      <c r="AE14">
        <v>10</v>
      </c>
      <c r="AF14">
        <v>1</v>
      </c>
      <c r="AG14">
        <v>25</v>
      </c>
      <c r="AH14">
        <v>0</v>
      </c>
      <c r="AI14">
        <v>0</v>
      </c>
      <c r="AJ14">
        <v>0</v>
      </c>
      <c r="AK14">
        <v>0</v>
      </c>
      <c r="AL14">
        <v>0</v>
      </c>
      <c r="AM14">
        <v>0</v>
      </c>
      <c r="AN14">
        <v>1</v>
      </c>
      <c r="AO14">
        <v>1</v>
      </c>
      <c r="AP14">
        <v>1</v>
      </c>
      <c r="AQ14">
        <v>2</v>
      </c>
      <c r="AR14">
        <v>1</v>
      </c>
      <c r="AS14">
        <v>0</v>
      </c>
      <c r="AT14">
        <v>4</v>
      </c>
      <c r="AU14">
        <v>0</v>
      </c>
    </row>
    <row r="15" spans="1:48" s="12" customFormat="1" ht="323" x14ac:dyDescent="0.2">
      <c r="A15" s="10" t="s">
        <v>179</v>
      </c>
      <c r="B15" s="10" t="s">
        <v>734</v>
      </c>
      <c r="C15" s="10" t="s">
        <v>458</v>
      </c>
      <c r="D15" s="10" t="s">
        <v>700</v>
      </c>
      <c r="E15" s="10" t="s">
        <v>735</v>
      </c>
      <c r="F15" s="10" t="s">
        <v>459</v>
      </c>
      <c r="G15" s="10" t="s">
        <v>736</v>
      </c>
      <c r="H15" s="10" t="s">
        <v>737</v>
      </c>
      <c r="I15" s="10" t="s">
        <v>459</v>
      </c>
      <c r="J15" s="10" t="s">
        <v>458</v>
      </c>
      <c r="K15" s="10" t="s">
        <v>758</v>
      </c>
      <c r="L15" s="10" t="s">
        <v>738</v>
      </c>
      <c r="M15" s="10"/>
      <c r="N15" s="11" t="s">
        <v>499</v>
      </c>
      <c r="O15" s="10" t="s">
        <v>458</v>
      </c>
      <c r="P15" s="10" t="s">
        <v>458</v>
      </c>
      <c r="Q15" s="10" t="s">
        <v>459</v>
      </c>
      <c r="R15" s="10" t="s">
        <v>180</v>
      </c>
      <c r="S15" s="10" t="s">
        <v>181</v>
      </c>
      <c r="T15" s="12">
        <v>2013</v>
      </c>
      <c r="U15" s="12">
        <v>29</v>
      </c>
      <c r="V15" s="12">
        <v>5</v>
      </c>
      <c r="Y15" s="12">
        <v>1265</v>
      </c>
      <c r="Z15" s="12">
        <v>1268</v>
      </c>
      <c r="AE15" s="12">
        <v>10</v>
      </c>
      <c r="AF15" s="12">
        <v>1</v>
      </c>
      <c r="AG15" s="12">
        <v>11</v>
      </c>
      <c r="AH15" s="12">
        <v>0</v>
      </c>
      <c r="AI15" s="12">
        <v>0</v>
      </c>
      <c r="AJ15" s="12">
        <v>0</v>
      </c>
      <c r="AK15" s="12">
        <v>0</v>
      </c>
      <c r="AL15" s="12">
        <v>0</v>
      </c>
      <c r="AM15" s="12">
        <v>0</v>
      </c>
      <c r="AN15" s="12">
        <v>0</v>
      </c>
      <c r="AO15" s="12">
        <v>1</v>
      </c>
      <c r="AP15" s="12">
        <v>1</v>
      </c>
      <c r="AQ15" s="12">
        <v>2</v>
      </c>
      <c r="AR15" s="12">
        <v>2</v>
      </c>
      <c r="AS15" s="12">
        <v>1</v>
      </c>
      <c r="AT15" s="12">
        <v>3</v>
      </c>
      <c r="AU15" s="12">
        <v>0</v>
      </c>
    </row>
    <row r="16" spans="1:48" ht="215" customHeight="1" x14ac:dyDescent="0.2">
      <c r="A16" s="2" t="s">
        <v>182</v>
      </c>
      <c r="B16" s="2" t="s">
        <v>739</v>
      </c>
      <c r="C16" s="2" t="s">
        <v>459</v>
      </c>
      <c r="D16" s="2" t="s">
        <v>700</v>
      </c>
      <c r="E16" s="2" t="s">
        <v>740</v>
      </c>
      <c r="F16" s="2" t="s">
        <v>458</v>
      </c>
      <c r="G16" s="2" t="s">
        <v>741</v>
      </c>
      <c r="H16" s="2" t="s">
        <v>742</v>
      </c>
      <c r="I16" s="2" t="s">
        <v>459</v>
      </c>
      <c r="J16" s="2" t="s">
        <v>458</v>
      </c>
      <c r="K16" s="2" t="s">
        <v>758</v>
      </c>
      <c r="L16" s="2" t="s">
        <v>743</v>
      </c>
      <c r="N16" s="7" t="s">
        <v>500</v>
      </c>
      <c r="O16" s="2" t="s">
        <v>458</v>
      </c>
      <c r="P16" s="2" t="s">
        <v>458</v>
      </c>
      <c r="Q16" s="2" t="s">
        <v>459</v>
      </c>
      <c r="R16" s="2" t="s">
        <v>183</v>
      </c>
      <c r="S16" s="2" t="s">
        <v>184</v>
      </c>
      <c r="T16">
        <v>2010</v>
      </c>
      <c r="U16">
        <v>162</v>
      </c>
      <c r="V16">
        <v>1</v>
      </c>
      <c r="Y16">
        <v>7</v>
      </c>
      <c r="Z16">
        <v>10</v>
      </c>
      <c r="AB16" t="s">
        <v>185</v>
      </c>
      <c r="AE16">
        <v>10</v>
      </c>
      <c r="AF16">
        <v>0</v>
      </c>
      <c r="AG16">
        <v>83</v>
      </c>
      <c r="AH16">
        <v>0</v>
      </c>
      <c r="AI16">
        <v>0</v>
      </c>
      <c r="AJ16">
        <v>0</v>
      </c>
      <c r="AK16">
        <v>1</v>
      </c>
      <c r="AL16">
        <v>1</v>
      </c>
      <c r="AM16">
        <v>2</v>
      </c>
      <c r="AN16">
        <v>1</v>
      </c>
      <c r="AO16">
        <v>2</v>
      </c>
      <c r="AP16">
        <v>1</v>
      </c>
      <c r="AQ16">
        <v>1</v>
      </c>
      <c r="AR16">
        <v>0</v>
      </c>
      <c r="AS16">
        <v>1</v>
      </c>
      <c r="AT16">
        <v>0</v>
      </c>
      <c r="AU16">
        <v>0</v>
      </c>
    </row>
    <row r="17" spans="1:50" ht="408" customHeight="1" x14ac:dyDescent="0.2">
      <c r="A17" s="2" t="s">
        <v>186</v>
      </c>
      <c r="B17" s="2" t="s">
        <v>744</v>
      </c>
      <c r="C17" s="2" t="s">
        <v>458</v>
      </c>
      <c r="D17" s="2" t="s">
        <v>700</v>
      </c>
      <c r="E17" s="2" t="s">
        <v>745</v>
      </c>
      <c r="F17" s="2" t="s">
        <v>459</v>
      </c>
      <c r="G17" s="2" t="s">
        <v>746</v>
      </c>
      <c r="H17" s="2" t="s">
        <v>747</v>
      </c>
      <c r="I17" s="2" t="s">
        <v>459</v>
      </c>
      <c r="J17" s="2" t="s">
        <v>458</v>
      </c>
      <c r="K17" s="2" t="s">
        <v>828</v>
      </c>
      <c r="L17" s="2" t="s">
        <v>748</v>
      </c>
      <c r="N17" s="7" t="s">
        <v>501</v>
      </c>
      <c r="O17" s="2" t="s">
        <v>458</v>
      </c>
      <c r="P17" s="2" t="s">
        <v>458</v>
      </c>
      <c r="Q17" s="2" t="s">
        <v>459</v>
      </c>
      <c r="R17" s="2" t="s">
        <v>187</v>
      </c>
      <c r="S17" s="2" t="s">
        <v>188</v>
      </c>
      <c r="T17">
        <v>2018</v>
      </c>
      <c r="U17">
        <v>9</v>
      </c>
      <c r="Y17">
        <v>86</v>
      </c>
      <c r="Z17">
        <v>92</v>
      </c>
      <c r="AB17" t="s">
        <v>189</v>
      </c>
      <c r="AE17">
        <v>9</v>
      </c>
      <c r="AF17">
        <v>2</v>
      </c>
      <c r="AG17">
        <v>25</v>
      </c>
      <c r="AH17">
        <v>0</v>
      </c>
      <c r="AI17">
        <v>0</v>
      </c>
      <c r="AJ17">
        <v>0</v>
      </c>
      <c r="AK17">
        <v>0</v>
      </c>
      <c r="AL17">
        <v>0</v>
      </c>
      <c r="AM17">
        <v>0</v>
      </c>
      <c r="AN17">
        <v>0</v>
      </c>
      <c r="AO17">
        <v>0</v>
      </c>
      <c r="AP17">
        <v>0</v>
      </c>
      <c r="AQ17">
        <v>0</v>
      </c>
      <c r="AR17">
        <v>0</v>
      </c>
      <c r="AS17">
        <v>4</v>
      </c>
      <c r="AT17">
        <v>5</v>
      </c>
      <c r="AU17">
        <v>0</v>
      </c>
    </row>
    <row r="18" spans="1:50" ht="204" x14ac:dyDescent="0.2">
      <c r="A18" s="2" t="s">
        <v>190</v>
      </c>
      <c r="B18" s="2" t="s">
        <v>829</v>
      </c>
      <c r="C18" s="2" t="s">
        <v>459</v>
      </c>
      <c r="D18" s="2" t="s">
        <v>694</v>
      </c>
      <c r="E18" s="2" t="s">
        <v>782</v>
      </c>
      <c r="F18" s="2" t="s">
        <v>458</v>
      </c>
      <c r="G18" s="2" t="s">
        <v>830</v>
      </c>
      <c r="H18" s="2" t="s">
        <v>832</v>
      </c>
      <c r="I18" s="2" t="s">
        <v>459</v>
      </c>
      <c r="J18" s="2" t="s">
        <v>458</v>
      </c>
      <c r="K18" s="2" t="s">
        <v>833</v>
      </c>
      <c r="L18" s="2" t="s">
        <v>831</v>
      </c>
      <c r="N18" s="7" t="s">
        <v>502</v>
      </c>
      <c r="R18" s="2" t="s">
        <v>191</v>
      </c>
      <c r="S18" s="2" t="s">
        <v>184</v>
      </c>
      <c r="T18">
        <v>2015</v>
      </c>
      <c r="U18">
        <v>197</v>
      </c>
      <c r="V18">
        <v>2</v>
      </c>
      <c r="Y18">
        <v>331</v>
      </c>
      <c r="Z18">
        <v>338</v>
      </c>
      <c r="AB18" t="s">
        <v>192</v>
      </c>
      <c r="AE18">
        <v>9</v>
      </c>
      <c r="AF18">
        <v>1</v>
      </c>
      <c r="AG18">
        <v>29</v>
      </c>
      <c r="AH18">
        <v>0</v>
      </c>
      <c r="AI18">
        <v>0</v>
      </c>
      <c r="AJ18">
        <v>0</v>
      </c>
      <c r="AK18">
        <v>0</v>
      </c>
      <c r="AL18">
        <v>0</v>
      </c>
      <c r="AM18">
        <v>0</v>
      </c>
      <c r="AN18">
        <v>0</v>
      </c>
      <c r="AO18">
        <v>0</v>
      </c>
      <c r="AP18">
        <v>3</v>
      </c>
      <c r="AQ18">
        <v>0</v>
      </c>
      <c r="AR18">
        <v>0</v>
      </c>
      <c r="AS18">
        <v>2</v>
      </c>
      <c r="AT18">
        <v>4</v>
      </c>
      <c r="AU18">
        <v>0</v>
      </c>
    </row>
    <row r="19" spans="1:50" ht="187" x14ac:dyDescent="0.2">
      <c r="A19" s="2" t="s">
        <v>200</v>
      </c>
      <c r="B19" s="2" t="s">
        <v>834</v>
      </c>
      <c r="C19" s="2" t="s">
        <v>459</v>
      </c>
      <c r="D19" s="2" t="s">
        <v>700</v>
      </c>
      <c r="E19" s="2" t="s">
        <v>750</v>
      </c>
      <c r="F19" s="2" t="s">
        <v>458</v>
      </c>
      <c r="G19" s="2" t="s">
        <v>758</v>
      </c>
      <c r="H19" s="2" t="s">
        <v>758</v>
      </c>
      <c r="I19" s="2" t="s">
        <v>758</v>
      </c>
      <c r="J19" s="2" t="s">
        <v>758</v>
      </c>
      <c r="K19" s="2" t="s">
        <v>758</v>
      </c>
      <c r="L19" s="2" t="s">
        <v>758</v>
      </c>
      <c r="M19" s="2" t="s">
        <v>835</v>
      </c>
      <c r="N19" s="7" t="s">
        <v>505</v>
      </c>
      <c r="O19" s="2" t="s">
        <v>506</v>
      </c>
      <c r="P19" s="2" t="s">
        <v>458</v>
      </c>
      <c r="Q19" s="2" t="s">
        <v>459</v>
      </c>
      <c r="R19" s="2" t="s">
        <v>201</v>
      </c>
      <c r="S19" s="2" t="s">
        <v>202</v>
      </c>
      <c r="T19">
        <v>2018</v>
      </c>
      <c r="U19">
        <v>25</v>
      </c>
      <c r="V19">
        <v>2</v>
      </c>
      <c r="X19" t="s">
        <v>31</v>
      </c>
      <c r="Y19">
        <v>144</v>
      </c>
      <c r="Z19">
        <v>147</v>
      </c>
      <c r="AB19" t="s">
        <v>203</v>
      </c>
      <c r="AC19" t="s">
        <v>204</v>
      </c>
      <c r="AD19" t="s">
        <v>205</v>
      </c>
      <c r="AE19" t="s">
        <v>206</v>
      </c>
      <c r="AF19" s="1">
        <v>42491</v>
      </c>
      <c r="AG19">
        <v>2017</v>
      </c>
      <c r="AH19">
        <v>7</v>
      </c>
      <c r="AI19">
        <v>1</v>
      </c>
      <c r="AJ19">
        <v>75</v>
      </c>
      <c r="AK19">
        <v>0</v>
      </c>
      <c r="AL19">
        <v>0</v>
      </c>
      <c r="AM19">
        <v>0</v>
      </c>
      <c r="AN19">
        <v>0</v>
      </c>
      <c r="AO19">
        <v>0</v>
      </c>
      <c r="AP19">
        <v>0</v>
      </c>
      <c r="AQ19">
        <v>0</v>
      </c>
      <c r="AR19">
        <v>0</v>
      </c>
      <c r="AS19">
        <v>0</v>
      </c>
      <c r="AT19">
        <v>0</v>
      </c>
      <c r="AU19">
        <v>0</v>
      </c>
      <c r="AV19">
        <v>2</v>
      </c>
      <c r="AW19">
        <v>3</v>
      </c>
      <c r="AX19">
        <v>2</v>
      </c>
    </row>
    <row r="20" spans="1:50" ht="306" x14ac:dyDescent="0.2">
      <c r="A20" s="2" t="s">
        <v>207</v>
      </c>
      <c r="B20" s="2" t="s">
        <v>766</v>
      </c>
      <c r="C20" s="2" t="s">
        <v>459</v>
      </c>
      <c r="D20" s="2" t="s">
        <v>700</v>
      </c>
      <c r="E20" s="2" t="s">
        <v>750</v>
      </c>
      <c r="F20" s="2" t="s">
        <v>458</v>
      </c>
      <c r="G20" s="2" t="s">
        <v>836</v>
      </c>
      <c r="H20" s="2" t="s">
        <v>837</v>
      </c>
      <c r="I20" s="2" t="s">
        <v>459</v>
      </c>
      <c r="J20" s="2" t="s">
        <v>458</v>
      </c>
      <c r="K20" s="2" t="s">
        <v>839</v>
      </c>
      <c r="L20" s="2" t="s">
        <v>838</v>
      </c>
      <c r="N20" s="7" t="s">
        <v>507</v>
      </c>
      <c r="O20" s="2" t="s">
        <v>458</v>
      </c>
      <c r="P20" s="2" t="s">
        <v>459</v>
      </c>
      <c r="Q20" s="2" t="s">
        <v>458</v>
      </c>
      <c r="R20" s="2" t="s">
        <v>208</v>
      </c>
      <c r="S20" s="2" t="s">
        <v>209</v>
      </c>
      <c r="T20" t="s">
        <v>155</v>
      </c>
      <c r="U20">
        <v>2017</v>
      </c>
      <c r="V20">
        <v>162</v>
      </c>
      <c r="W20">
        <v>1</v>
      </c>
      <c r="Z20">
        <v>174</v>
      </c>
      <c r="AA20">
        <v>181</v>
      </c>
      <c r="AC20" t="s">
        <v>210</v>
      </c>
      <c r="AF20">
        <v>7</v>
      </c>
      <c r="AG20">
        <v>1</v>
      </c>
      <c r="AH20">
        <v>4</v>
      </c>
      <c r="AI20">
        <v>0</v>
      </c>
      <c r="AJ20">
        <v>0</v>
      </c>
      <c r="AK20">
        <v>0</v>
      </c>
      <c r="AL20">
        <v>0</v>
      </c>
      <c r="AM20">
        <v>0</v>
      </c>
      <c r="AN20">
        <v>0</v>
      </c>
      <c r="AO20">
        <v>0</v>
      </c>
      <c r="AP20">
        <v>0</v>
      </c>
      <c r="AQ20">
        <v>0</v>
      </c>
      <c r="AR20">
        <v>0</v>
      </c>
      <c r="AS20">
        <v>3</v>
      </c>
      <c r="AT20">
        <v>2</v>
      </c>
      <c r="AU20">
        <v>1</v>
      </c>
      <c r="AV20">
        <v>1</v>
      </c>
    </row>
    <row r="21" spans="1:50" ht="238" x14ac:dyDescent="0.2">
      <c r="A21" s="2" t="s">
        <v>215</v>
      </c>
      <c r="B21" s="2" t="s">
        <v>840</v>
      </c>
      <c r="C21" s="2" t="s">
        <v>459</v>
      </c>
      <c r="D21" s="2" t="s">
        <v>700</v>
      </c>
      <c r="E21" s="2" t="s">
        <v>842</v>
      </c>
      <c r="F21" s="2" t="s">
        <v>458</v>
      </c>
      <c r="G21" s="2" t="s">
        <v>841</v>
      </c>
      <c r="H21" s="2" t="s">
        <v>843</v>
      </c>
      <c r="I21" s="2" t="s">
        <v>459</v>
      </c>
      <c r="J21" s="2" t="s">
        <v>458</v>
      </c>
      <c r="K21" s="2" t="s">
        <v>758</v>
      </c>
      <c r="L21" s="2" t="s">
        <v>844</v>
      </c>
      <c r="N21" s="7" t="s">
        <v>508</v>
      </c>
      <c r="R21" s="2" t="s">
        <v>216</v>
      </c>
      <c r="S21" s="2" t="s">
        <v>217</v>
      </c>
      <c r="T21">
        <v>2016</v>
      </c>
      <c r="U21">
        <v>8</v>
      </c>
      <c r="V21">
        <v>1</v>
      </c>
      <c r="AA21" t="s">
        <v>218</v>
      </c>
      <c r="AB21" t="s">
        <v>219</v>
      </c>
      <c r="AE21">
        <v>7</v>
      </c>
      <c r="AF21">
        <v>1</v>
      </c>
      <c r="AG21">
        <v>17</v>
      </c>
      <c r="AH21">
        <v>0</v>
      </c>
      <c r="AI21">
        <v>0</v>
      </c>
      <c r="AJ21">
        <v>0</v>
      </c>
      <c r="AK21">
        <v>0</v>
      </c>
      <c r="AL21">
        <v>0</v>
      </c>
      <c r="AM21">
        <v>0</v>
      </c>
      <c r="AN21">
        <v>0</v>
      </c>
      <c r="AO21">
        <v>0</v>
      </c>
      <c r="AP21">
        <v>0</v>
      </c>
      <c r="AQ21">
        <v>1</v>
      </c>
      <c r="AR21">
        <v>3</v>
      </c>
      <c r="AS21">
        <v>1</v>
      </c>
      <c r="AT21">
        <v>2</v>
      </c>
      <c r="AU21">
        <v>0</v>
      </c>
    </row>
    <row r="22" spans="1:50" ht="272" x14ac:dyDescent="0.2">
      <c r="A22" s="2" t="s">
        <v>230</v>
      </c>
      <c r="B22" s="2" t="s">
        <v>846</v>
      </c>
      <c r="C22" s="2" t="s">
        <v>459</v>
      </c>
      <c r="D22" s="2" t="s">
        <v>700</v>
      </c>
      <c r="E22" s="2" t="s">
        <v>820</v>
      </c>
      <c r="F22" s="2" t="s">
        <v>458</v>
      </c>
      <c r="G22" s="2" t="s">
        <v>848</v>
      </c>
      <c r="H22" s="2" t="s">
        <v>847</v>
      </c>
      <c r="I22" s="2" t="s">
        <v>459</v>
      </c>
      <c r="J22" s="2" t="s">
        <v>459</v>
      </c>
      <c r="K22" s="2" t="s">
        <v>758</v>
      </c>
      <c r="L22" s="2" t="s">
        <v>849</v>
      </c>
      <c r="N22" s="7" t="s">
        <v>556</v>
      </c>
      <c r="O22" s="2" t="s">
        <v>458</v>
      </c>
      <c r="P22" s="2" t="s">
        <v>459</v>
      </c>
      <c r="Q22" s="2" t="s">
        <v>458</v>
      </c>
      <c r="R22" s="2" t="s">
        <v>231</v>
      </c>
      <c r="S22" s="2" t="s">
        <v>45</v>
      </c>
      <c r="T22">
        <v>2018</v>
      </c>
      <c r="U22">
        <v>75</v>
      </c>
      <c r="V22">
        <v>4</v>
      </c>
      <c r="Y22">
        <v>978</v>
      </c>
      <c r="Z22">
        <v>983</v>
      </c>
      <c r="AB22" t="s">
        <v>232</v>
      </c>
      <c r="AE22">
        <v>6</v>
      </c>
      <c r="AF22">
        <v>1</v>
      </c>
      <c r="AG22">
        <v>5</v>
      </c>
      <c r="AH22">
        <v>0</v>
      </c>
      <c r="AI22">
        <v>0</v>
      </c>
      <c r="AJ22">
        <v>0</v>
      </c>
      <c r="AK22">
        <v>0</v>
      </c>
      <c r="AL22">
        <v>0</v>
      </c>
      <c r="AM22">
        <v>0</v>
      </c>
      <c r="AN22">
        <v>0</v>
      </c>
      <c r="AO22">
        <v>0</v>
      </c>
      <c r="AP22">
        <v>0</v>
      </c>
      <c r="AQ22">
        <v>0</v>
      </c>
      <c r="AR22">
        <v>0</v>
      </c>
      <c r="AS22">
        <v>4</v>
      </c>
      <c r="AT22">
        <v>0</v>
      </c>
      <c r="AU22">
        <v>2</v>
      </c>
    </row>
    <row r="23" spans="1:50" ht="255" x14ac:dyDescent="0.2">
      <c r="A23" s="2" t="s">
        <v>240</v>
      </c>
      <c r="B23" s="2" t="s">
        <v>766</v>
      </c>
      <c r="C23" s="2" t="s">
        <v>459</v>
      </c>
      <c r="D23" s="2" t="s">
        <v>700</v>
      </c>
      <c r="E23" s="2" t="s">
        <v>852</v>
      </c>
      <c r="F23" s="2" t="s">
        <v>852</v>
      </c>
      <c r="G23" s="2" t="s">
        <v>853</v>
      </c>
      <c r="H23" s="2" t="s">
        <v>851</v>
      </c>
      <c r="I23" s="2" t="s">
        <v>459</v>
      </c>
      <c r="J23" s="2" t="s">
        <v>458</v>
      </c>
      <c r="K23" s="2" t="s">
        <v>758</v>
      </c>
      <c r="L23" s="2" t="s">
        <v>850</v>
      </c>
      <c r="N23" s="7" t="s">
        <v>559</v>
      </c>
      <c r="R23" s="2" t="s">
        <v>241</v>
      </c>
      <c r="S23" s="2" t="s">
        <v>242</v>
      </c>
      <c r="T23">
        <v>2016</v>
      </c>
      <c r="U23">
        <v>82</v>
      </c>
      <c r="V23">
        <v>3</v>
      </c>
      <c r="Y23">
        <v>212</v>
      </c>
      <c r="Z23">
        <v>215</v>
      </c>
      <c r="AE23">
        <v>6</v>
      </c>
      <c r="AF23">
        <v>1</v>
      </c>
      <c r="AG23">
        <v>0</v>
      </c>
      <c r="AH23">
        <v>0</v>
      </c>
      <c r="AI23">
        <v>0</v>
      </c>
      <c r="AJ23">
        <v>0</v>
      </c>
      <c r="AK23">
        <v>0</v>
      </c>
      <c r="AL23">
        <v>0</v>
      </c>
      <c r="AM23">
        <v>0</v>
      </c>
      <c r="AN23">
        <v>0</v>
      </c>
      <c r="AO23">
        <v>0</v>
      </c>
      <c r="AP23">
        <v>2</v>
      </c>
      <c r="AQ23">
        <v>0</v>
      </c>
      <c r="AR23">
        <v>2</v>
      </c>
      <c r="AS23">
        <v>2</v>
      </c>
      <c r="AT23">
        <v>0</v>
      </c>
    </row>
    <row r="24" spans="1:50" ht="102" x14ac:dyDescent="0.2">
      <c r="A24" s="2" t="s">
        <v>261</v>
      </c>
      <c r="B24" s="2" t="s">
        <v>766</v>
      </c>
      <c r="C24" s="2" t="s">
        <v>459</v>
      </c>
      <c r="D24" s="2" t="s">
        <v>700</v>
      </c>
      <c r="E24" s="2" t="s">
        <v>855</v>
      </c>
      <c r="F24" s="2" t="s">
        <v>458</v>
      </c>
      <c r="G24" s="2" t="s">
        <v>856</v>
      </c>
      <c r="H24" s="2" t="s">
        <v>854</v>
      </c>
      <c r="I24" s="2" t="s">
        <v>459</v>
      </c>
      <c r="J24" s="2" t="s">
        <v>458</v>
      </c>
      <c r="K24" s="2" t="s">
        <v>758</v>
      </c>
      <c r="L24" s="2" t="s">
        <v>857</v>
      </c>
      <c r="M24" s="35" t="s">
        <v>858</v>
      </c>
      <c r="N24" s="7" t="s">
        <v>567</v>
      </c>
      <c r="O24" s="2" t="s">
        <v>566</v>
      </c>
      <c r="P24" s="2" t="s">
        <v>458</v>
      </c>
      <c r="Q24" s="2" t="s">
        <v>459</v>
      </c>
      <c r="R24" s="2" t="s">
        <v>262</v>
      </c>
      <c r="S24" s="2" t="s">
        <v>263</v>
      </c>
      <c r="T24">
        <v>2017</v>
      </c>
      <c r="U24">
        <v>8</v>
      </c>
      <c r="Y24">
        <v>481</v>
      </c>
      <c r="Z24">
        <v>486</v>
      </c>
      <c r="AB24" t="s">
        <v>264</v>
      </c>
      <c r="AE24">
        <v>5</v>
      </c>
      <c r="AF24">
        <v>1</v>
      </c>
      <c r="AG24">
        <v>0</v>
      </c>
      <c r="AH24">
        <v>0</v>
      </c>
      <c r="AI24">
        <v>0</v>
      </c>
      <c r="AJ24">
        <v>0</v>
      </c>
      <c r="AK24">
        <v>0</v>
      </c>
      <c r="AL24">
        <v>0</v>
      </c>
      <c r="AM24">
        <v>0</v>
      </c>
      <c r="AN24">
        <v>0</v>
      </c>
      <c r="AO24">
        <v>0</v>
      </c>
      <c r="AP24">
        <v>1</v>
      </c>
      <c r="AQ24">
        <v>1</v>
      </c>
      <c r="AR24">
        <v>1</v>
      </c>
      <c r="AS24">
        <v>2</v>
      </c>
      <c r="AT24">
        <v>0</v>
      </c>
    </row>
    <row r="25" spans="1:50" ht="187" x14ac:dyDescent="0.2">
      <c r="A25" s="2" t="s">
        <v>273</v>
      </c>
      <c r="B25" s="2" t="s">
        <v>860</v>
      </c>
      <c r="C25" s="2" t="s">
        <v>459</v>
      </c>
      <c r="D25" s="2" t="s">
        <v>711</v>
      </c>
      <c r="E25" s="2" t="s">
        <v>772</v>
      </c>
      <c r="F25" s="2" t="s">
        <v>459</v>
      </c>
      <c r="G25" s="2" t="s">
        <v>758</v>
      </c>
      <c r="H25" s="2" t="s">
        <v>758</v>
      </c>
      <c r="I25" s="2" t="s">
        <v>852</v>
      </c>
      <c r="J25" s="2" t="s">
        <v>758</v>
      </c>
      <c r="K25" s="2" t="s">
        <v>758</v>
      </c>
      <c r="L25" s="2" t="s">
        <v>758</v>
      </c>
      <c r="M25" s="2" t="s">
        <v>861</v>
      </c>
      <c r="N25" s="18" t="s">
        <v>591</v>
      </c>
      <c r="R25" s="2" t="s">
        <v>274</v>
      </c>
      <c r="S25" s="2" t="s">
        <v>275</v>
      </c>
      <c r="T25">
        <v>2011</v>
      </c>
      <c r="U25">
        <v>163</v>
      </c>
      <c r="Y25">
        <v>650</v>
      </c>
      <c r="Z25">
        <v>652</v>
      </c>
      <c r="AB25" t="s">
        <v>276</v>
      </c>
      <c r="AC25" t="s">
        <v>277</v>
      </c>
      <c r="AD25" t="s">
        <v>278</v>
      </c>
      <c r="AE25">
        <v>2011</v>
      </c>
      <c r="AF25">
        <v>5</v>
      </c>
      <c r="AG25">
        <v>0</v>
      </c>
      <c r="AH25">
        <v>45</v>
      </c>
      <c r="AI25">
        <v>0</v>
      </c>
      <c r="AJ25">
        <v>0</v>
      </c>
      <c r="AK25">
        <v>0</v>
      </c>
      <c r="AL25">
        <v>1</v>
      </c>
      <c r="AM25">
        <v>2</v>
      </c>
      <c r="AN25">
        <v>1</v>
      </c>
      <c r="AO25">
        <v>0</v>
      </c>
      <c r="AP25">
        <v>1</v>
      </c>
      <c r="AQ25">
        <v>0</v>
      </c>
      <c r="AR25">
        <v>0</v>
      </c>
      <c r="AS25">
        <v>0</v>
      </c>
      <c r="AT25">
        <v>0</v>
      </c>
      <c r="AU25">
        <v>0</v>
      </c>
      <c r="AV25">
        <v>0</v>
      </c>
    </row>
    <row r="26" spans="1:50" s="12" customFormat="1" ht="388" x14ac:dyDescent="0.2">
      <c r="A26" s="10" t="s">
        <v>282</v>
      </c>
      <c r="B26" s="10" t="s">
        <v>863</v>
      </c>
      <c r="C26" s="10" t="s">
        <v>458</v>
      </c>
      <c r="D26" s="10"/>
      <c r="E26" s="10" t="s">
        <v>862</v>
      </c>
      <c r="F26" s="10" t="s">
        <v>459</v>
      </c>
      <c r="G26" s="10" t="s">
        <v>865</v>
      </c>
      <c r="H26" s="10" t="s">
        <v>864</v>
      </c>
      <c r="I26" s="10" t="s">
        <v>459</v>
      </c>
      <c r="J26" s="10" t="s">
        <v>458</v>
      </c>
      <c r="K26" s="10" t="s">
        <v>758</v>
      </c>
      <c r="L26" s="10" t="s">
        <v>867</v>
      </c>
      <c r="M26" s="10" t="s">
        <v>866</v>
      </c>
      <c r="N26" s="11" t="s">
        <v>572</v>
      </c>
      <c r="O26" s="10" t="s">
        <v>458</v>
      </c>
      <c r="P26" s="10" t="s">
        <v>458</v>
      </c>
      <c r="Q26" s="10" t="s">
        <v>459</v>
      </c>
      <c r="R26" s="10" t="s">
        <v>283</v>
      </c>
      <c r="S26" s="10" t="s">
        <v>573</v>
      </c>
      <c r="T26" s="12">
        <v>2018</v>
      </c>
      <c r="U26" s="12">
        <v>75</v>
      </c>
      <c r="V26" s="12">
        <v>3</v>
      </c>
      <c r="Y26" s="12">
        <v>779</v>
      </c>
      <c r="Z26" s="12">
        <v>786</v>
      </c>
      <c r="AB26" s="12" t="s">
        <v>284</v>
      </c>
      <c r="AE26" s="12">
        <v>4</v>
      </c>
      <c r="AF26" s="12">
        <v>1</v>
      </c>
      <c r="AG26" s="12">
        <v>0</v>
      </c>
      <c r="AH26" s="12">
        <v>0</v>
      </c>
      <c r="AI26" s="12">
        <v>0</v>
      </c>
      <c r="AJ26" s="12">
        <v>0</v>
      </c>
      <c r="AK26" s="12">
        <v>0</v>
      </c>
      <c r="AL26" s="12">
        <v>0</v>
      </c>
      <c r="AM26" s="12">
        <v>0</v>
      </c>
      <c r="AN26" s="12">
        <v>0</v>
      </c>
      <c r="AO26" s="12">
        <v>0</v>
      </c>
      <c r="AP26" s="12">
        <v>0</v>
      </c>
      <c r="AQ26" s="12">
        <v>0</v>
      </c>
      <c r="AR26" s="12">
        <v>4</v>
      </c>
      <c r="AS26" s="12">
        <v>0</v>
      </c>
      <c r="AT26" s="12">
        <v>0</v>
      </c>
    </row>
    <row r="27" spans="1:50" ht="288" customHeight="1" x14ac:dyDescent="0.2">
      <c r="A27" s="2" t="s">
        <v>578</v>
      </c>
      <c r="B27" s="2" t="s">
        <v>873</v>
      </c>
      <c r="C27" s="2" t="s">
        <v>458</v>
      </c>
      <c r="D27" s="2" t="s">
        <v>700</v>
      </c>
      <c r="E27" s="2" t="s">
        <v>782</v>
      </c>
      <c r="F27" s="2" t="s">
        <v>458</v>
      </c>
      <c r="G27" s="2" t="s">
        <v>871</v>
      </c>
      <c r="H27" s="2" t="s">
        <v>872</v>
      </c>
      <c r="I27" s="2" t="s">
        <v>459</v>
      </c>
      <c r="J27" s="2" t="s">
        <v>458</v>
      </c>
      <c r="K27" s="2" t="s">
        <v>758</v>
      </c>
      <c r="L27" s="2" t="s">
        <v>874</v>
      </c>
      <c r="N27" s="7" t="s">
        <v>579</v>
      </c>
      <c r="O27" s="2" t="s">
        <v>458</v>
      </c>
      <c r="P27" s="2" t="s">
        <v>458</v>
      </c>
      <c r="Q27" s="2" t="s">
        <v>459</v>
      </c>
      <c r="R27" s="2" t="s">
        <v>299</v>
      </c>
      <c r="S27" s="2" t="s">
        <v>300</v>
      </c>
      <c r="T27" t="s">
        <v>301</v>
      </c>
      <c r="U27">
        <v>2015</v>
      </c>
      <c r="V27">
        <v>34</v>
      </c>
      <c r="W27">
        <v>6</v>
      </c>
      <c r="Z27">
        <v>339</v>
      </c>
      <c r="AA27">
        <v>344</v>
      </c>
      <c r="AC27" t="s">
        <v>302</v>
      </c>
      <c r="AF27">
        <v>3</v>
      </c>
      <c r="AG27">
        <v>0</v>
      </c>
      <c r="AH27">
        <v>43</v>
      </c>
      <c r="AI27">
        <v>0</v>
      </c>
      <c r="AJ27">
        <v>0</v>
      </c>
      <c r="AK27">
        <v>0</v>
      </c>
      <c r="AL27">
        <v>0</v>
      </c>
      <c r="AM27">
        <v>0</v>
      </c>
      <c r="AN27">
        <v>0</v>
      </c>
      <c r="AO27">
        <v>0</v>
      </c>
      <c r="AP27">
        <v>0</v>
      </c>
      <c r="AQ27">
        <v>0</v>
      </c>
      <c r="AR27">
        <v>1</v>
      </c>
      <c r="AS27">
        <v>0</v>
      </c>
      <c r="AT27">
        <v>0</v>
      </c>
      <c r="AU27">
        <v>2</v>
      </c>
      <c r="AV27">
        <v>0</v>
      </c>
    </row>
    <row r="28" spans="1:50" ht="238" x14ac:dyDescent="0.2">
      <c r="A28" s="2" t="s">
        <v>311</v>
      </c>
      <c r="B28" s="2" t="s">
        <v>840</v>
      </c>
      <c r="C28" s="2" t="s">
        <v>459</v>
      </c>
      <c r="D28" s="2" t="s">
        <v>700</v>
      </c>
      <c r="E28" s="2" t="s">
        <v>878</v>
      </c>
      <c r="F28" s="2" t="s">
        <v>852</v>
      </c>
      <c r="G28" s="2" t="s">
        <v>876</v>
      </c>
      <c r="H28" s="2" t="s">
        <v>875</v>
      </c>
      <c r="I28" s="2" t="s">
        <v>459</v>
      </c>
      <c r="J28" s="2" t="s">
        <v>458</v>
      </c>
      <c r="K28" s="2" t="s">
        <v>758</v>
      </c>
      <c r="L28" s="2" t="s">
        <v>877</v>
      </c>
      <c r="N28" s="7" t="s">
        <v>582</v>
      </c>
      <c r="O28" s="2" t="s">
        <v>458</v>
      </c>
      <c r="P28" s="2" t="s">
        <v>458</v>
      </c>
      <c r="Q28" s="2" t="s">
        <v>459</v>
      </c>
      <c r="R28" s="2" t="s">
        <v>312</v>
      </c>
      <c r="S28" s="2" t="s">
        <v>313</v>
      </c>
      <c r="T28">
        <v>2016</v>
      </c>
      <c r="U28">
        <v>54</v>
      </c>
      <c r="V28">
        <v>9</v>
      </c>
      <c r="Y28">
        <v>600</v>
      </c>
      <c r="Z28">
        <v>604</v>
      </c>
      <c r="AE28">
        <v>2</v>
      </c>
      <c r="AF28">
        <v>0</v>
      </c>
      <c r="AG28">
        <v>33</v>
      </c>
      <c r="AH28">
        <v>0</v>
      </c>
      <c r="AI28">
        <v>0</v>
      </c>
      <c r="AJ28">
        <v>0</v>
      </c>
      <c r="AK28">
        <v>0</v>
      </c>
      <c r="AL28">
        <v>0</v>
      </c>
      <c r="AM28">
        <v>0</v>
      </c>
      <c r="AN28">
        <v>0</v>
      </c>
      <c r="AO28">
        <v>0</v>
      </c>
      <c r="AP28">
        <v>0</v>
      </c>
      <c r="AQ28">
        <v>0</v>
      </c>
      <c r="AR28">
        <v>0</v>
      </c>
      <c r="AS28">
        <v>2</v>
      </c>
      <c r="AT28">
        <v>0</v>
      </c>
      <c r="AU28">
        <v>0</v>
      </c>
    </row>
    <row r="29" spans="1:50" s="12" customFormat="1" ht="255" x14ac:dyDescent="0.2">
      <c r="A29" s="10" t="s">
        <v>332</v>
      </c>
      <c r="B29" s="10" t="s">
        <v>766</v>
      </c>
      <c r="C29" s="10" t="s">
        <v>459</v>
      </c>
      <c r="D29" s="10" t="s">
        <v>700</v>
      </c>
      <c r="E29" s="10" t="s">
        <v>852</v>
      </c>
      <c r="F29" s="10" t="s">
        <v>852</v>
      </c>
      <c r="G29" s="10" t="s">
        <v>881</v>
      </c>
      <c r="H29" s="10" t="s">
        <v>879</v>
      </c>
      <c r="I29" s="10" t="s">
        <v>882</v>
      </c>
      <c r="J29" s="10" t="s">
        <v>458</v>
      </c>
      <c r="K29" s="10" t="s">
        <v>758</v>
      </c>
      <c r="L29" s="10" t="s">
        <v>880</v>
      </c>
      <c r="M29" s="10"/>
      <c r="N29" s="11" t="s">
        <v>587</v>
      </c>
      <c r="O29" s="10" t="s">
        <v>458</v>
      </c>
      <c r="P29" s="10" t="s">
        <v>458</v>
      </c>
      <c r="Q29" s="10" t="s">
        <v>459</v>
      </c>
      <c r="R29" s="10" t="s">
        <v>333</v>
      </c>
      <c r="S29" s="10" t="s">
        <v>81</v>
      </c>
      <c r="T29" s="12">
        <v>2020</v>
      </c>
      <c r="U29" s="12">
        <v>88</v>
      </c>
      <c r="V29" s="12">
        <v>2</v>
      </c>
      <c r="Y29" s="12">
        <v>242</v>
      </c>
      <c r="Z29" s="12">
        <v>246</v>
      </c>
      <c r="AB29" s="12" t="s">
        <v>334</v>
      </c>
      <c r="AC29" s="12" t="s">
        <v>335</v>
      </c>
      <c r="AD29" s="12" t="s">
        <v>336</v>
      </c>
      <c r="AE29" s="12">
        <v>2019</v>
      </c>
      <c r="AF29" s="12">
        <v>1</v>
      </c>
      <c r="AG29" s="12">
        <v>0</v>
      </c>
      <c r="AH29" s="12">
        <v>5</v>
      </c>
      <c r="AI29" s="12">
        <v>0</v>
      </c>
      <c r="AJ29" s="12">
        <v>0</v>
      </c>
      <c r="AK29" s="12">
        <v>0</v>
      </c>
      <c r="AL29" s="12">
        <v>0</v>
      </c>
      <c r="AM29" s="12">
        <v>0</v>
      </c>
      <c r="AN29" s="12">
        <v>0</v>
      </c>
      <c r="AO29" s="12">
        <v>0</v>
      </c>
      <c r="AP29" s="12">
        <v>0</v>
      </c>
      <c r="AQ29" s="12">
        <v>0</v>
      </c>
      <c r="AR29" s="12">
        <v>0</v>
      </c>
      <c r="AS29" s="12">
        <v>0</v>
      </c>
      <c r="AT29" s="12">
        <v>0</v>
      </c>
      <c r="AU29" s="12">
        <v>1</v>
      </c>
      <c r="AV29" s="12">
        <v>0</v>
      </c>
    </row>
    <row r="30" spans="1:50" ht="238" x14ac:dyDescent="0.2">
      <c r="A30" s="2" t="s">
        <v>357</v>
      </c>
      <c r="B30" s="2" t="s">
        <v>754</v>
      </c>
      <c r="C30" s="2" t="s">
        <v>459</v>
      </c>
      <c r="D30" s="2" t="s">
        <v>700</v>
      </c>
      <c r="E30" s="2" t="s">
        <v>883</v>
      </c>
      <c r="F30" s="2" t="s">
        <v>459</v>
      </c>
      <c r="G30" s="2" t="s">
        <v>884</v>
      </c>
      <c r="H30" s="2" t="s">
        <v>886</v>
      </c>
      <c r="I30" s="2" t="s">
        <v>885</v>
      </c>
      <c r="J30" s="2" t="s">
        <v>885</v>
      </c>
      <c r="K30" s="2" t="s">
        <v>758</v>
      </c>
      <c r="L30" s="2" t="s">
        <v>887</v>
      </c>
      <c r="N30" s="7" t="s">
        <v>593</v>
      </c>
      <c r="O30" s="2" t="s">
        <v>458</v>
      </c>
      <c r="P30" s="2" t="s">
        <v>458</v>
      </c>
      <c r="Q30" s="2" t="s">
        <v>458</v>
      </c>
      <c r="R30" s="2" t="s">
        <v>358</v>
      </c>
      <c r="S30" s="2" t="s">
        <v>45</v>
      </c>
      <c r="T30">
        <v>2016</v>
      </c>
      <c r="U30">
        <v>73</v>
      </c>
      <c r="V30">
        <v>4</v>
      </c>
      <c r="Y30">
        <v>648</v>
      </c>
      <c r="Z30">
        <v>654</v>
      </c>
      <c r="AE30">
        <v>1</v>
      </c>
      <c r="AF30">
        <v>0</v>
      </c>
      <c r="AG30">
        <v>17</v>
      </c>
      <c r="AH30">
        <v>0</v>
      </c>
      <c r="AI30">
        <v>0</v>
      </c>
      <c r="AJ30">
        <v>0</v>
      </c>
      <c r="AK30">
        <v>0</v>
      </c>
      <c r="AL30">
        <v>0</v>
      </c>
      <c r="AM30">
        <v>0</v>
      </c>
      <c r="AN30">
        <v>0</v>
      </c>
      <c r="AO30">
        <v>0</v>
      </c>
      <c r="AP30">
        <v>0</v>
      </c>
      <c r="AQ30">
        <v>0</v>
      </c>
      <c r="AR30">
        <v>1</v>
      </c>
      <c r="AS30">
        <v>0</v>
      </c>
      <c r="AT30">
        <v>0</v>
      </c>
      <c r="AU30">
        <v>0</v>
      </c>
    </row>
    <row r="31" spans="1:50" ht="153" x14ac:dyDescent="0.2">
      <c r="A31" s="2" t="s">
        <v>367</v>
      </c>
      <c r="B31" s="2" t="s">
        <v>754</v>
      </c>
      <c r="C31" s="2" t="s">
        <v>459</v>
      </c>
      <c r="D31" s="2" t="s">
        <v>700</v>
      </c>
      <c r="E31" s="2" t="s">
        <v>888</v>
      </c>
      <c r="F31" s="2" t="s">
        <v>459</v>
      </c>
      <c r="G31" s="2" t="s">
        <v>889</v>
      </c>
      <c r="H31" s="2" t="s">
        <v>890</v>
      </c>
      <c r="I31" s="2" t="s">
        <v>459</v>
      </c>
      <c r="J31" s="2" t="s">
        <v>458</v>
      </c>
      <c r="K31" s="2" t="s">
        <v>758</v>
      </c>
      <c r="L31" s="2" t="s">
        <v>891</v>
      </c>
      <c r="N31" s="7" t="s">
        <v>595</v>
      </c>
      <c r="O31" s="2" t="s">
        <v>458</v>
      </c>
      <c r="P31" s="2" t="s">
        <v>458</v>
      </c>
      <c r="Q31" s="2" t="s">
        <v>459</v>
      </c>
      <c r="R31" s="2" t="s">
        <v>368</v>
      </c>
      <c r="S31" s="2" t="s">
        <v>109</v>
      </c>
      <c r="T31">
        <v>2020</v>
      </c>
      <c r="U31">
        <v>231</v>
      </c>
      <c r="V31">
        <v>4</v>
      </c>
      <c r="W31">
        <v>1</v>
      </c>
      <c r="Y31" t="s">
        <v>369</v>
      </c>
      <c r="Z31" t="s">
        <v>369</v>
      </c>
      <c r="AC31" t="s">
        <v>370</v>
      </c>
      <c r="AD31" t="s">
        <v>371</v>
      </c>
      <c r="AE31">
        <v>2020</v>
      </c>
      <c r="AF31">
        <v>0</v>
      </c>
      <c r="AG31">
        <v>0</v>
      </c>
      <c r="AH31">
        <v>0</v>
      </c>
      <c r="AI31">
        <v>0</v>
      </c>
      <c r="AJ31">
        <v>0</v>
      </c>
      <c r="AK31">
        <v>0</v>
      </c>
      <c r="AL31">
        <v>0</v>
      </c>
      <c r="AM31">
        <v>0</v>
      </c>
      <c r="AN31">
        <v>0</v>
      </c>
      <c r="AO31">
        <v>0</v>
      </c>
      <c r="AP31">
        <v>0</v>
      </c>
      <c r="AQ31">
        <v>0</v>
      </c>
      <c r="AR31">
        <v>0</v>
      </c>
      <c r="AS31">
        <v>0</v>
      </c>
      <c r="AT31">
        <v>0</v>
      </c>
      <c r="AU31">
        <v>0</v>
      </c>
    </row>
    <row r="32" spans="1:50" ht="272" x14ac:dyDescent="0.2">
      <c r="A32" s="2" t="s">
        <v>396</v>
      </c>
      <c r="B32" s="2" t="s">
        <v>699</v>
      </c>
      <c r="C32" s="2" t="s">
        <v>458</v>
      </c>
      <c r="D32" s="2" t="s">
        <v>700</v>
      </c>
      <c r="E32" s="2" t="s">
        <v>897</v>
      </c>
      <c r="F32" s="2" t="s">
        <v>458</v>
      </c>
      <c r="G32" s="2" t="s">
        <v>896</v>
      </c>
      <c r="H32" s="2" t="s">
        <v>898</v>
      </c>
      <c r="I32" s="2" t="s">
        <v>459</v>
      </c>
      <c r="J32" s="2" t="s">
        <v>458</v>
      </c>
      <c r="K32" s="2" t="s">
        <v>758</v>
      </c>
      <c r="L32" s="2" t="s">
        <v>899</v>
      </c>
      <c r="M32" s="2" t="s">
        <v>900</v>
      </c>
      <c r="N32" s="7" t="s">
        <v>605</v>
      </c>
      <c r="O32" s="2" t="s">
        <v>606</v>
      </c>
      <c r="P32" s="2" t="s">
        <v>458</v>
      </c>
      <c r="Q32" s="2" t="s">
        <v>459</v>
      </c>
      <c r="R32" s="2" t="s">
        <v>397</v>
      </c>
      <c r="S32" s="2" t="s">
        <v>398</v>
      </c>
      <c r="T32">
        <v>2019</v>
      </c>
      <c r="U32">
        <v>5</v>
      </c>
      <c r="V32">
        <v>3</v>
      </c>
      <c r="Y32">
        <v>140</v>
      </c>
      <c r="Z32">
        <v>143</v>
      </c>
      <c r="AB32" t="s">
        <v>399</v>
      </c>
      <c r="AE32">
        <v>0</v>
      </c>
      <c r="AF32">
        <v>0</v>
      </c>
      <c r="AG32">
        <v>0</v>
      </c>
      <c r="AH32">
        <v>0</v>
      </c>
      <c r="AI32">
        <v>0</v>
      </c>
      <c r="AJ32">
        <v>0</v>
      </c>
      <c r="AK32">
        <v>0</v>
      </c>
      <c r="AL32">
        <v>0</v>
      </c>
      <c r="AM32">
        <v>0</v>
      </c>
      <c r="AN32">
        <v>0</v>
      </c>
      <c r="AO32">
        <v>0</v>
      </c>
      <c r="AP32">
        <v>0</v>
      </c>
      <c r="AQ32">
        <v>0</v>
      </c>
      <c r="AR32">
        <v>0</v>
      </c>
      <c r="AS32">
        <v>0</v>
      </c>
      <c r="AT32">
        <v>0</v>
      </c>
    </row>
    <row r="33" spans="1:156" ht="340" x14ac:dyDescent="0.2">
      <c r="A33" s="2" t="s">
        <v>410</v>
      </c>
      <c r="B33" s="2" t="s">
        <v>903</v>
      </c>
      <c r="C33" s="2" t="s">
        <v>459</v>
      </c>
      <c r="D33" s="2" t="s">
        <v>700</v>
      </c>
      <c r="E33" s="2" t="s">
        <v>905</v>
      </c>
      <c r="F33" s="2" t="s">
        <v>458</v>
      </c>
      <c r="G33" s="2" t="s">
        <v>904</v>
      </c>
      <c r="H33" s="2" t="s">
        <v>902</v>
      </c>
      <c r="I33" s="2" t="s">
        <v>882</v>
      </c>
      <c r="J33" s="2" t="s">
        <v>458</v>
      </c>
      <c r="K33" s="2" t="s">
        <v>758</v>
      </c>
      <c r="L33" s="2" t="s">
        <v>458</v>
      </c>
      <c r="M33" s="2" t="s">
        <v>901</v>
      </c>
      <c r="N33" s="7" t="s">
        <v>609</v>
      </c>
      <c r="O33" s="2" t="s">
        <v>458</v>
      </c>
      <c r="P33" s="2" t="s">
        <v>458</v>
      </c>
      <c r="Q33" s="2" t="s">
        <v>458</v>
      </c>
      <c r="R33" s="2" t="s">
        <v>411</v>
      </c>
      <c r="S33" s="2" t="s">
        <v>412</v>
      </c>
      <c r="T33">
        <v>2017</v>
      </c>
      <c r="U33">
        <v>23</v>
      </c>
      <c r="V33">
        <v>6</v>
      </c>
      <c r="Y33">
        <v>1381</v>
      </c>
      <c r="Z33">
        <v>1386</v>
      </c>
      <c r="AB33" t="s">
        <v>413</v>
      </c>
      <c r="AE33">
        <v>0</v>
      </c>
      <c r="AF33">
        <v>0</v>
      </c>
      <c r="AG33">
        <v>0</v>
      </c>
      <c r="AH33">
        <v>0</v>
      </c>
      <c r="AI33">
        <v>0</v>
      </c>
      <c r="AJ33">
        <v>0</v>
      </c>
      <c r="AK33">
        <v>0</v>
      </c>
      <c r="AL33">
        <v>0</v>
      </c>
      <c r="AM33">
        <v>0</v>
      </c>
      <c r="AN33">
        <v>0</v>
      </c>
      <c r="AO33">
        <v>0</v>
      </c>
      <c r="AP33">
        <v>0</v>
      </c>
      <c r="AQ33">
        <v>0</v>
      </c>
      <c r="AR33">
        <v>0</v>
      </c>
      <c r="AS33">
        <v>0</v>
      </c>
      <c r="AT33">
        <v>0</v>
      </c>
    </row>
    <row r="34" spans="1:156" ht="136" x14ac:dyDescent="0.2">
      <c r="A34" s="2" t="s">
        <v>663</v>
      </c>
      <c r="B34" s="2" t="s">
        <v>908</v>
      </c>
      <c r="C34" s="2" t="s">
        <v>458</v>
      </c>
      <c r="D34" s="2" t="s">
        <v>694</v>
      </c>
      <c r="E34" s="2" t="s">
        <v>909</v>
      </c>
      <c r="F34" s="2" t="s">
        <v>459</v>
      </c>
      <c r="G34" s="2" t="s">
        <v>910</v>
      </c>
      <c r="H34" s="2" t="s">
        <v>911</v>
      </c>
      <c r="I34" s="2" t="s">
        <v>459</v>
      </c>
      <c r="J34" s="2" t="s">
        <v>459</v>
      </c>
      <c r="K34" s="2" t="s">
        <v>758</v>
      </c>
      <c r="L34" s="2" t="s">
        <v>852</v>
      </c>
      <c r="M34" s="2" t="s">
        <v>912</v>
      </c>
      <c r="R34" t="s">
        <v>664</v>
      </c>
      <c r="S34" t="s">
        <v>26</v>
      </c>
      <c r="T34" t="s">
        <v>665</v>
      </c>
      <c r="U34">
        <v>2018</v>
      </c>
      <c r="V34">
        <v>13</v>
      </c>
      <c r="W34">
        <v>5</v>
      </c>
      <c r="X34" t="s">
        <v>620</v>
      </c>
      <c r="Y34" t="s">
        <v>620</v>
      </c>
      <c r="Z34" t="s">
        <v>620</v>
      </c>
      <c r="AA34">
        <v>331</v>
      </c>
      <c r="AB34">
        <v>340</v>
      </c>
      <c r="AC34" t="s">
        <v>620</v>
      </c>
      <c r="AD34" t="s">
        <v>666</v>
      </c>
      <c r="AE34" t="s">
        <v>620</v>
      </c>
      <c r="AF34" t="s">
        <v>620</v>
      </c>
      <c r="AG34">
        <v>3</v>
      </c>
      <c r="AH34">
        <v>0.75</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1</v>
      </c>
      <c r="EY34">
        <v>2</v>
      </c>
      <c r="EZ34">
        <v>0</v>
      </c>
    </row>
    <row r="35" spans="1:156" ht="51" x14ac:dyDescent="0.2">
      <c r="A35" s="2" t="s">
        <v>671</v>
      </c>
      <c r="B35" s="2" t="s">
        <v>913</v>
      </c>
      <c r="C35" s="2" t="s">
        <v>459</v>
      </c>
      <c r="D35" s="2" t="s">
        <v>694</v>
      </c>
      <c r="E35" s="2" t="s">
        <v>916</v>
      </c>
      <c r="F35" s="2" t="s">
        <v>458</v>
      </c>
      <c r="G35" s="2" t="s">
        <v>914</v>
      </c>
      <c r="H35" s="2" t="s">
        <v>915</v>
      </c>
      <c r="I35" s="2" t="s">
        <v>459</v>
      </c>
      <c r="J35" s="2" t="s">
        <v>459</v>
      </c>
      <c r="K35" s="2" t="s">
        <v>758</v>
      </c>
      <c r="L35" s="2" t="s">
        <v>852</v>
      </c>
      <c r="M35" s="2" t="s">
        <v>917</v>
      </c>
      <c r="R35" t="s">
        <v>672</v>
      </c>
      <c r="S35" t="s">
        <v>673</v>
      </c>
      <c r="T35" t="s">
        <v>674</v>
      </c>
      <c r="U35">
        <v>2018</v>
      </c>
      <c r="V35">
        <v>10</v>
      </c>
      <c r="W35">
        <v>3</v>
      </c>
      <c r="X35" t="s">
        <v>620</v>
      </c>
      <c r="Y35" t="s">
        <v>620</v>
      </c>
      <c r="Z35" t="s">
        <v>620</v>
      </c>
      <c r="AA35">
        <v>183</v>
      </c>
      <c r="AB35">
        <v>188</v>
      </c>
      <c r="AC35" t="s">
        <v>620</v>
      </c>
      <c r="AD35" t="s">
        <v>675</v>
      </c>
      <c r="AE35" t="s">
        <v>620</v>
      </c>
      <c r="AF35" t="s">
        <v>620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row>
  </sheetData>
  <autoFilter ref="A1:AX35" xr:uid="{F7858121-29E1-5543-A087-28965803E051}"/>
  <conditionalFormatting sqref="O20:Q20 O33:Q33 N1:Q1 N5:Q7 N15:Q17 L33:M33 L20:M20 A36:A1048576 L36:Q1048576 L14:Q14 B2:Q4 B8:Q13 L18:Q19 L21:Q32 B18:K33 A1:A33">
    <cfRule type="containsText" dxfId="91" priority="40" operator="containsText" text="review">
      <formula>NOT(ISERROR(SEARCH("review",A1)))</formula>
    </cfRule>
  </conditionalFormatting>
  <conditionalFormatting sqref="L1:M1">
    <cfRule type="containsText" dxfId="90" priority="39" operator="containsText" text="review">
      <formula>NOT(ISERROR(SEARCH("review",L1)))</formula>
    </cfRule>
  </conditionalFormatting>
  <conditionalFormatting sqref="L5:M5">
    <cfRule type="containsText" dxfId="89" priority="35" operator="containsText" text="review">
      <formula>NOT(ISERROR(SEARCH("review",L5)))</formula>
    </cfRule>
  </conditionalFormatting>
  <conditionalFormatting sqref="L6:M6">
    <cfRule type="containsText" dxfId="88" priority="34" operator="containsText" text="review">
      <formula>NOT(ISERROR(SEARCH("review",L6)))</formula>
    </cfRule>
  </conditionalFormatting>
  <conditionalFormatting sqref="L7:M7">
    <cfRule type="containsText" dxfId="87" priority="33" operator="containsText" text="review">
      <formula>NOT(ISERROR(SEARCH("review",L7)))</formula>
    </cfRule>
  </conditionalFormatting>
  <conditionalFormatting sqref="L15:M15">
    <cfRule type="containsText" dxfId="86" priority="30" operator="containsText" text="review">
      <formula>NOT(ISERROR(SEARCH("review",L15)))</formula>
    </cfRule>
  </conditionalFormatting>
  <conditionalFormatting sqref="L16:M16">
    <cfRule type="containsText" dxfId="85" priority="29" operator="containsText" text="review">
      <formula>NOT(ISERROR(SEARCH("review",L16)))</formula>
    </cfRule>
  </conditionalFormatting>
  <conditionalFormatting sqref="L17:M17">
    <cfRule type="containsText" dxfId="84" priority="28" operator="containsText" text="review">
      <formula>NOT(ISERROR(SEARCH("review",L17)))</formula>
    </cfRule>
  </conditionalFormatting>
  <conditionalFormatting sqref="B14:K14 B36:K1048576">
    <cfRule type="containsText" dxfId="83" priority="26" operator="containsText" text="review">
      <formula>NOT(ISERROR(SEARCH("review",B14)))</formula>
    </cfRule>
  </conditionalFormatting>
  <conditionalFormatting sqref="B34:H34 K34">
    <cfRule type="duplicateValues" dxfId="82" priority="23" stopIfTrue="1"/>
  </conditionalFormatting>
  <conditionalFormatting sqref="B35:D35 G35:H35 K35">
    <cfRule type="duplicateValues" dxfId="81" priority="22" stopIfTrue="1"/>
  </conditionalFormatting>
  <conditionalFormatting sqref="B1:C1 F1:K1">
    <cfRule type="containsText" dxfId="80" priority="21" operator="containsText" text="review">
      <formula>NOT(ISERROR(SEARCH("review",B1)))</formula>
    </cfRule>
  </conditionalFormatting>
  <conditionalFormatting sqref="B5:K5">
    <cfRule type="containsText" dxfId="79" priority="17" operator="containsText" text="review">
      <formula>NOT(ISERROR(SEARCH("review",B5)))</formula>
    </cfRule>
  </conditionalFormatting>
  <conditionalFormatting sqref="B6:K6">
    <cfRule type="containsText" dxfId="78" priority="16" operator="containsText" text="review">
      <formula>NOT(ISERROR(SEARCH("review",B6)))</formula>
    </cfRule>
  </conditionalFormatting>
  <conditionalFormatting sqref="B7:K7">
    <cfRule type="containsText" dxfId="77" priority="15" operator="containsText" text="review">
      <formula>NOT(ISERROR(SEARCH("review",B7)))</formula>
    </cfRule>
  </conditionalFormatting>
  <conditionalFormatting sqref="B15:K15">
    <cfRule type="containsText" dxfId="76" priority="12" operator="containsText" text="review">
      <formula>NOT(ISERROR(SEARCH("review",B15)))</formula>
    </cfRule>
  </conditionalFormatting>
  <conditionalFormatting sqref="B16:K16">
    <cfRule type="containsText" dxfId="75" priority="11" operator="containsText" text="review">
      <formula>NOT(ISERROR(SEARCH("review",B16)))</formula>
    </cfRule>
  </conditionalFormatting>
  <conditionalFormatting sqref="B17:K17">
    <cfRule type="containsText" dxfId="74" priority="10" operator="containsText" text="review">
      <formula>NOT(ISERROR(SEARCH("review",B17)))</formula>
    </cfRule>
  </conditionalFormatting>
  <conditionalFormatting sqref="D1">
    <cfRule type="containsText" dxfId="73" priority="8" operator="containsText" text="review">
      <formula>NOT(ISERROR(SEARCH("review",D1)))</formula>
    </cfRule>
  </conditionalFormatting>
  <conditionalFormatting sqref="E1">
    <cfRule type="containsText" dxfId="72" priority="7" operator="containsText" text="review">
      <formula>NOT(ISERROR(SEARCH("review",E1)))</formula>
    </cfRule>
  </conditionalFormatting>
  <conditionalFormatting sqref="L34:M34 A34">
    <cfRule type="duplicateValues" dxfId="71" priority="43" stopIfTrue="1"/>
  </conditionalFormatting>
  <conditionalFormatting sqref="L35:M35 A35">
    <cfRule type="duplicateValues" dxfId="70" priority="44" stopIfTrue="1"/>
  </conditionalFormatting>
  <conditionalFormatting sqref="I34">
    <cfRule type="containsText" dxfId="69" priority="6" operator="containsText" text="review">
      <formula>NOT(ISERROR(SEARCH("review",I34)))</formula>
    </cfRule>
  </conditionalFormatting>
  <conditionalFormatting sqref="J34">
    <cfRule type="containsText" dxfId="68" priority="5" operator="containsText" text="review">
      <formula>NOT(ISERROR(SEARCH("review",J34)))</formula>
    </cfRule>
  </conditionalFormatting>
  <conditionalFormatting sqref="F35">
    <cfRule type="duplicateValues" dxfId="67" priority="4" stopIfTrue="1"/>
  </conditionalFormatting>
  <conditionalFormatting sqref="E35">
    <cfRule type="duplicateValues" dxfId="66" priority="3" stopIfTrue="1"/>
  </conditionalFormatting>
  <conditionalFormatting sqref="I35">
    <cfRule type="containsText" dxfId="65" priority="2" operator="containsText" text="review">
      <formula>NOT(ISERROR(SEARCH("review",I35)))</formula>
    </cfRule>
  </conditionalFormatting>
  <conditionalFormatting sqref="J35">
    <cfRule type="containsText" dxfId="64" priority="1" operator="containsText" text="review">
      <formula>NOT(ISERROR(SEARCH("review",J35)))</formula>
    </cfRule>
  </conditionalFormatting>
  <pageMargins left="0.75" right="0.75" top="1" bottom="1" header="0.5" footer="0.5"/>
  <pageSetup paperSize="9" scale="10" fitToWidth="0" fitToHeight="0" orientation="landscape" horizontalDpi="0" verticalDpi="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CC1A1-CAD5-6846-81E9-CE3DF102F2CB}">
  <dimension ref="A1:EZ43"/>
  <sheetViews>
    <sheetView zoomScale="130" zoomScaleNormal="130" workbookViewId="0">
      <pane ySplit="1" topLeftCell="A2" activePane="bottomLeft" state="frozen"/>
      <selection pane="bottomLeft" activeCell="D2" sqref="D2"/>
    </sheetView>
  </sheetViews>
  <sheetFormatPr baseColWidth="10" defaultRowHeight="16" x14ac:dyDescent="0.2"/>
  <cols>
    <col min="1" max="1" width="43.83203125" style="2" customWidth="1"/>
    <col min="2" max="2" width="19.5" style="2" customWidth="1"/>
    <col min="3" max="4" width="14.1640625" style="2" customWidth="1"/>
    <col min="5" max="5" width="19.6640625" style="2" customWidth="1"/>
    <col min="6" max="6" width="14.1640625" style="2" customWidth="1"/>
    <col min="7" max="7" width="21.6640625" style="2" customWidth="1"/>
    <col min="8" max="8" width="34.5" style="2" customWidth="1"/>
    <col min="9" max="9" width="15" style="2" customWidth="1"/>
    <col min="10" max="11" width="14.1640625" style="2" customWidth="1"/>
    <col min="12" max="12" width="17.6640625" style="2" customWidth="1"/>
    <col min="13" max="13" width="47.83203125" style="2" customWidth="1"/>
    <col min="14" max="14" width="120.6640625" style="7" customWidth="1"/>
    <col min="15" max="15" width="19.33203125" style="2" bestFit="1" customWidth="1"/>
    <col min="16" max="17" width="19.33203125" style="2" customWidth="1"/>
    <col min="18" max="18" width="43.1640625" style="2" customWidth="1"/>
    <col min="19" max="19" width="39.5" style="2" customWidth="1"/>
    <col min="20" max="20" width="13.83203125" customWidth="1"/>
  </cols>
  <sheetData>
    <row r="1" spans="1:48" s="4" customFormat="1" ht="44" x14ac:dyDescent="0.25">
      <c r="A1" s="3" t="s">
        <v>0</v>
      </c>
      <c r="B1" s="3" t="s">
        <v>684</v>
      </c>
      <c r="C1" s="3" t="s">
        <v>690</v>
      </c>
      <c r="D1" s="3" t="s">
        <v>685</v>
      </c>
      <c r="E1" s="3" t="s">
        <v>686</v>
      </c>
      <c r="F1" s="3" t="s">
        <v>691</v>
      </c>
      <c r="G1" s="3" t="s">
        <v>687</v>
      </c>
      <c r="H1" s="3" t="s">
        <v>688</v>
      </c>
      <c r="I1" s="3" t="s">
        <v>763</v>
      </c>
      <c r="J1" s="3" t="s">
        <v>776</v>
      </c>
      <c r="K1" s="3" t="s">
        <v>692</v>
      </c>
      <c r="L1" s="3" t="s">
        <v>689</v>
      </c>
      <c r="M1" s="3" t="s">
        <v>753</v>
      </c>
      <c r="N1" s="8" t="s">
        <v>456</v>
      </c>
      <c r="O1" s="3" t="s">
        <v>460</v>
      </c>
      <c r="P1" s="3" t="s">
        <v>461</v>
      </c>
      <c r="Q1" s="3" t="s">
        <v>462</v>
      </c>
      <c r="R1" s="3" t="s">
        <v>1</v>
      </c>
      <c r="S1" s="3" t="s">
        <v>2</v>
      </c>
      <c r="T1" s="4" t="s">
        <v>3</v>
      </c>
      <c r="U1" s="4" t="s">
        <v>4</v>
      </c>
      <c r="V1" s="4" t="s">
        <v>5</v>
      </c>
      <c r="W1" s="4" t="s">
        <v>6</v>
      </c>
      <c r="X1" s="4" t="s">
        <v>7</v>
      </c>
      <c r="Y1" s="4" t="s">
        <v>8</v>
      </c>
      <c r="Z1" s="4" t="s">
        <v>9</v>
      </c>
      <c r="AA1" s="4" t="s">
        <v>10</v>
      </c>
      <c r="AB1" s="4" t="s">
        <v>11</v>
      </c>
      <c r="AC1" s="4" t="s">
        <v>12</v>
      </c>
      <c r="AD1" s="4" t="s">
        <v>13</v>
      </c>
      <c r="AE1" s="4" t="s">
        <v>14</v>
      </c>
      <c r="AF1" s="4" t="s">
        <v>15</v>
      </c>
      <c r="AG1" s="4">
        <v>2008</v>
      </c>
      <c r="AH1" s="4">
        <v>2009</v>
      </c>
      <c r="AI1" s="4">
        <v>2010</v>
      </c>
      <c r="AJ1" s="4">
        <v>2011</v>
      </c>
      <c r="AK1" s="4">
        <v>2012</v>
      </c>
      <c r="AL1" s="4">
        <v>2013</v>
      </c>
      <c r="AM1" s="4">
        <v>2014</v>
      </c>
      <c r="AN1" s="4">
        <v>2015</v>
      </c>
      <c r="AO1" s="4">
        <v>2016</v>
      </c>
      <c r="AP1" s="4">
        <v>2017</v>
      </c>
      <c r="AQ1" s="4">
        <v>2018</v>
      </c>
      <c r="AR1" s="4">
        <v>2019</v>
      </c>
      <c r="AS1" s="4">
        <v>2020</v>
      </c>
      <c r="AT1" s="4">
        <v>2021</v>
      </c>
    </row>
    <row r="2" spans="1:48" ht="356" x14ac:dyDescent="0.2">
      <c r="A2" s="2" t="s">
        <v>48</v>
      </c>
      <c r="B2" s="2" t="s">
        <v>754</v>
      </c>
      <c r="C2" s="2" t="s">
        <v>459</v>
      </c>
      <c r="D2" s="2" t="s">
        <v>700</v>
      </c>
      <c r="E2" s="2" t="s">
        <v>756</v>
      </c>
      <c r="F2" s="2" t="s">
        <v>459</v>
      </c>
      <c r="G2" s="2" t="s">
        <v>755</v>
      </c>
      <c r="H2" s="2" t="s">
        <v>757</v>
      </c>
      <c r="I2" s="2" t="s">
        <v>459</v>
      </c>
      <c r="J2" s="2" t="s">
        <v>459</v>
      </c>
      <c r="K2" s="2" t="s">
        <v>758</v>
      </c>
      <c r="L2" s="2" t="s">
        <v>758</v>
      </c>
      <c r="M2" s="2" t="s">
        <v>759</v>
      </c>
      <c r="N2" s="7" t="s">
        <v>449</v>
      </c>
      <c r="O2" s="2" t="s">
        <v>458</v>
      </c>
      <c r="P2" s="2" t="s">
        <v>459</v>
      </c>
      <c r="Q2" s="2" t="s">
        <v>459</v>
      </c>
      <c r="R2" s="2" t="s">
        <v>49</v>
      </c>
      <c r="S2" s="2" t="s">
        <v>448</v>
      </c>
      <c r="T2">
        <v>2020</v>
      </c>
      <c r="U2">
        <v>22</v>
      </c>
      <c r="V2">
        <v>12</v>
      </c>
      <c r="AE2">
        <v>0</v>
      </c>
      <c r="AF2">
        <v>0</v>
      </c>
      <c r="AG2">
        <v>0</v>
      </c>
      <c r="AH2">
        <v>0</v>
      </c>
      <c r="AI2">
        <v>0</v>
      </c>
      <c r="AJ2">
        <v>0</v>
      </c>
      <c r="AK2">
        <v>0</v>
      </c>
      <c r="AL2">
        <v>0</v>
      </c>
      <c r="AM2">
        <v>0</v>
      </c>
      <c r="AN2">
        <v>0</v>
      </c>
      <c r="AO2">
        <v>0</v>
      </c>
      <c r="AP2">
        <v>0</v>
      </c>
      <c r="AQ2">
        <v>0</v>
      </c>
      <c r="AR2">
        <v>0</v>
      </c>
      <c r="AS2">
        <v>0</v>
      </c>
      <c r="AT2">
        <v>0</v>
      </c>
    </row>
    <row r="3" spans="1:48" s="12" customFormat="1" ht="409.5" x14ac:dyDescent="0.2">
      <c r="A3" s="10" t="s">
        <v>51</v>
      </c>
      <c r="B3" s="10" t="s">
        <v>754</v>
      </c>
      <c r="C3" s="10" t="s">
        <v>459</v>
      </c>
      <c r="D3" s="10" t="s">
        <v>700</v>
      </c>
      <c r="E3" s="10" t="s">
        <v>760</v>
      </c>
      <c r="F3" s="10" t="s">
        <v>458</v>
      </c>
      <c r="G3" s="10" t="s">
        <v>761</v>
      </c>
      <c r="H3" s="10" t="s">
        <v>765</v>
      </c>
      <c r="I3" s="10" t="s">
        <v>459</v>
      </c>
      <c r="J3" s="10" t="s">
        <v>458</v>
      </c>
      <c r="K3" s="10" t="s">
        <v>758</v>
      </c>
      <c r="L3" s="10" t="s">
        <v>762</v>
      </c>
      <c r="M3" s="10" t="s">
        <v>764</v>
      </c>
      <c r="N3" s="11" t="s">
        <v>453</v>
      </c>
      <c r="O3" s="10" t="s">
        <v>458</v>
      </c>
      <c r="P3" s="10" t="s">
        <v>458</v>
      </c>
      <c r="Q3" s="10" t="s">
        <v>458</v>
      </c>
      <c r="R3" s="10" t="s">
        <v>52</v>
      </c>
      <c r="S3" s="10" t="s">
        <v>53</v>
      </c>
      <c r="T3" s="12">
        <v>2008</v>
      </c>
      <c r="U3" s="12">
        <v>64</v>
      </c>
      <c r="V3" s="12">
        <v>2</v>
      </c>
      <c r="Y3" s="12">
        <v>255</v>
      </c>
      <c r="Z3" s="12">
        <v>263</v>
      </c>
      <c r="AB3" s="12" t="s">
        <v>54</v>
      </c>
      <c r="AC3" s="12" t="s">
        <v>55</v>
      </c>
      <c r="AD3" s="12" t="s">
        <v>56</v>
      </c>
      <c r="AE3" s="12">
        <v>2007</v>
      </c>
      <c r="AF3" s="12">
        <v>81</v>
      </c>
      <c r="AG3" s="12">
        <v>5</v>
      </c>
      <c r="AH3" s="12">
        <v>79</v>
      </c>
      <c r="AI3" s="12">
        <v>3</v>
      </c>
      <c r="AJ3" s="12">
        <v>3</v>
      </c>
      <c r="AK3" s="12">
        <v>16</v>
      </c>
      <c r="AL3" s="12">
        <v>9</v>
      </c>
      <c r="AM3" s="12">
        <v>7</v>
      </c>
      <c r="AN3" s="12">
        <v>5</v>
      </c>
      <c r="AO3" s="12">
        <v>5</v>
      </c>
      <c r="AP3" s="12">
        <v>5</v>
      </c>
      <c r="AQ3" s="12">
        <v>5</v>
      </c>
      <c r="AR3" s="12">
        <v>5</v>
      </c>
      <c r="AS3" s="12">
        <v>4</v>
      </c>
      <c r="AT3" s="12">
        <v>7</v>
      </c>
      <c r="AU3" s="12">
        <v>6</v>
      </c>
      <c r="AV3" s="12">
        <v>1</v>
      </c>
    </row>
    <row r="4" spans="1:48" ht="221" x14ac:dyDescent="0.2">
      <c r="A4" s="2" t="s">
        <v>61</v>
      </c>
      <c r="B4" s="2" t="s">
        <v>766</v>
      </c>
      <c r="C4" s="2" t="s">
        <v>459</v>
      </c>
      <c r="D4" s="2" t="s">
        <v>700</v>
      </c>
      <c r="E4" s="2" t="s">
        <v>769</v>
      </c>
      <c r="F4" s="2" t="s">
        <v>458</v>
      </c>
      <c r="G4" s="2" t="s">
        <v>767</v>
      </c>
      <c r="H4" s="2" t="s">
        <v>768</v>
      </c>
      <c r="I4" s="2" t="s">
        <v>459</v>
      </c>
      <c r="J4" s="2" t="s">
        <v>458</v>
      </c>
      <c r="K4" s="2" t="s">
        <v>758</v>
      </c>
      <c r="L4" s="2" t="s">
        <v>770</v>
      </c>
      <c r="M4" s="2" t="s">
        <v>771</v>
      </c>
      <c r="N4" s="7" t="s">
        <v>455</v>
      </c>
      <c r="O4" s="2" t="s">
        <v>459</v>
      </c>
      <c r="R4" s="2" t="s">
        <v>62</v>
      </c>
      <c r="S4" s="2" t="s">
        <v>45</v>
      </c>
      <c r="T4">
        <v>2012</v>
      </c>
      <c r="U4">
        <v>69</v>
      </c>
      <c r="V4">
        <v>2</v>
      </c>
      <c r="Y4">
        <v>242</v>
      </c>
      <c r="Z4">
        <v>248</v>
      </c>
      <c r="AB4" t="s">
        <v>63</v>
      </c>
      <c r="AE4">
        <v>77</v>
      </c>
      <c r="AF4">
        <v>7</v>
      </c>
      <c r="AG4">
        <v>7</v>
      </c>
      <c r="AH4">
        <v>0</v>
      </c>
      <c r="AI4">
        <v>0</v>
      </c>
      <c r="AJ4">
        <v>0</v>
      </c>
      <c r="AK4">
        <v>0</v>
      </c>
      <c r="AL4">
        <v>3</v>
      </c>
      <c r="AM4">
        <v>4</v>
      </c>
      <c r="AN4">
        <v>7</v>
      </c>
      <c r="AO4">
        <v>10</v>
      </c>
      <c r="AP4">
        <v>12</v>
      </c>
      <c r="AQ4">
        <v>10</v>
      </c>
      <c r="AR4">
        <v>10</v>
      </c>
      <c r="AS4">
        <v>5</v>
      </c>
      <c r="AT4">
        <v>15</v>
      </c>
      <c r="AU4">
        <v>1</v>
      </c>
    </row>
    <row r="5" spans="1:48" ht="136" x14ac:dyDescent="0.2">
      <c r="A5" s="2" t="s">
        <v>64</v>
      </c>
      <c r="B5" s="2" t="s">
        <v>710</v>
      </c>
      <c r="C5" s="2" t="s">
        <v>459</v>
      </c>
      <c r="D5" s="2" t="s">
        <v>711</v>
      </c>
      <c r="E5" s="2" t="s">
        <v>772</v>
      </c>
      <c r="F5" s="2" t="s">
        <v>459</v>
      </c>
      <c r="G5" s="2" t="s">
        <v>712</v>
      </c>
      <c r="H5" s="2" t="s">
        <v>713</v>
      </c>
      <c r="I5" s="2" t="s">
        <v>459</v>
      </c>
      <c r="J5" s="2" t="s">
        <v>458</v>
      </c>
      <c r="K5" s="2" t="s">
        <v>758</v>
      </c>
      <c r="L5" s="2" t="s">
        <v>714</v>
      </c>
      <c r="M5" s="2" t="s">
        <v>773</v>
      </c>
      <c r="N5" s="7" t="s">
        <v>464</v>
      </c>
      <c r="O5" s="2" t="s">
        <v>458</v>
      </c>
      <c r="P5" s="2" t="s">
        <v>458</v>
      </c>
      <c r="Q5" s="2" t="s">
        <v>459</v>
      </c>
      <c r="R5" s="2" t="s">
        <v>65</v>
      </c>
      <c r="S5" s="2" t="s">
        <v>66</v>
      </c>
      <c r="T5">
        <v>2013</v>
      </c>
      <c r="U5">
        <v>84</v>
      </c>
      <c r="V5">
        <v>1</v>
      </c>
      <c r="Y5">
        <v>78</v>
      </c>
      <c r="Z5">
        <v>84</v>
      </c>
      <c r="AB5" t="s">
        <v>67</v>
      </c>
      <c r="AE5">
        <v>44</v>
      </c>
      <c r="AF5">
        <v>4</v>
      </c>
      <c r="AG5">
        <v>89</v>
      </c>
      <c r="AH5">
        <v>0</v>
      </c>
      <c r="AI5">
        <v>0</v>
      </c>
      <c r="AJ5">
        <v>0</v>
      </c>
      <c r="AK5">
        <v>0</v>
      </c>
      <c r="AL5">
        <v>0</v>
      </c>
      <c r="AM5">
        <v>5</v>
      </c>
      <c r="AN5">
        <v>5</v>
      </c>
      <c r="AO5">
        <v>4</v>
      </c>
      <c r="AP5">
        <v>8</v>
      </c>
      <c r="AQ5">
        <v>5</v>
      </c>
      <c r="AR5">
        <v>4</v>
      </c>
      <c r="AS5">
        <v>6</v>
      </c>
      <c r="AT5">
        <v>6</v>
      </c>
      <c r="AU5">
        <v>1</v>
      </c>
    </row>
    <row r="6" spans="1:48" ht="244" customHeight="1" x14ac:dyDescent="0.2">
      <c r="A6" s="2" t="s">
        <v>68</v>
      </c>
      <c r="B6" s="2" t="s">
        <v>774</v>
      </c>
      <c r="C6" s="2" t="s">
        <v>458</v>
      </c>
      <c r="D6" s="2" t="s">
        <v>711</v>
      </c>
      <c r="E6" s="2" t="s">
        <v>715</v>
      </c>
      <c r="F6" s="2" t="s">
        <v>458</v>
      </c>
      <c r="G6" s="2" t="s">
        <v>716</v>
      </c>
      <c r="H6" s="2" t="s">
        <v>717</v>
      </c>
      <c r="I6" s="2" t="s">
        <v>459</v>
      </c>
      <c r="J6" s="2" t="s">
        <v>458</v>
      </c>
      <c r="K6" s="2" t="s">
        <v>758</v>
      </c>
      <c r="L6" s="2" t="s">
        <v>718</v>
      </c>
      <c r="N6" s="7" t="s">
        <v>465</v>
      </c>
      <c r="O6" s="2" t="s">
        <v>458</v>
      </c>
      <c r="P6" s="2" t="s">
        <v>458</v>
      </c>
      <c r="Q6" s="2" t="s">
        <v>459</v>
      </c>
      <c r="R6" s="2" t="s">
        <v>69</v>
      </c>
      <c r="S6" s="2" t="s">
        <v>70</v>
      </c>
      <c r="T6">
        <v>2010</v>
      </c>
      <c r="U6">
        <v>27</v>
      </c>
      <c r="V6">
        <v>10</v>
      </c>
      <c r="Y6">
        <v>734</v>
      </c>
      <c r="Z6">
        <v>738</v>
      </c>
      <c r="AB6" t="s">
        <v>71</v>
      </c>
      <c r="AE6">
        <v>43</v>
      </c>
      <c r="AF6">
        <v>3</v>
      </c>
      <c r="AG6">
        <v>58</v>
      </c>
      <c r="AH6">
        <v>0</v>
      </c>
      <c r="AI6">
        <v>0</v>
      </c>
      <c r="AJ6">
        <v>0</v>
      </c>
      <c r="AK6">
        <v>2</v>
      </c>
      <c r="AL6">
        <v>3</v>
      </c>
      <c r="AM6">
        <v>6</v>
      </c>
      <c r="AN6">
        <v>7</v>
      </c>
      <c r="AO6">
        <v>1</v>
      </c>
      <c r="AP6">
        <v>5</v>
      </c>
      <c r="AQ6">
        <v>3</v>
      </c>
      <c r="AR6">
        <v>3</v>
      </c>
      <c r="AS6">
        <v>6</v>
      </c>
      <c r="AT6">
        <v>7</v>
      </c>
      <c r="AU6">
        <v>0</v>
      </c>
    </row>
    <row r="7" spans="1:48" s="12" customFormat="1" ht="221" x14ac:dyDescent="0.2">
      <c r="A7" s="10" t="s">
        <v>76</v>
      </c>
      <c r="B7" s="10" t="s">
        <v>719</v>
      </c>
      <c r="C7" s="10" t="s">
        <v>463</v>
      </c>
      <c r="D7" s="10" t="s">
        <v>700</v>
      </c>
      <c r="E7" s="10" t="s">
        <v>720</v>
      </c>
      <c r="F7" s="10" t="s">
        <v>459</v>
      </c>
      <c r="G7" s="10" t="s">
        <v>721</v>
      </c>
      <c r="H7" s="10" t="s">
        <v>722</v>
      </c>
      <c r="I7" s="10" t="s">
        <v>777</v>
      </c>
      <c r="J7" s="10" t="s">
        <v>458</v>
      </c>
      <c r="K7" s="10" t="s">
        <v>758</v>
      </c>
      <c r="L7" s="10" t="s">
        <v>723</v>
      </c>
      <c r="M7" s="10"/>
      <c r="N7" s="11" t="s">
        <v>467</v>
      </c>
      <c r="O7" s="10" t="s">
        <v>458</v>
      </c>
      <c r="P7" s="10" t="s">
        <v>458</v>
      </c>
      <c r="Q7" s="10" t="s">
        <v>459</v>
      </c>
      <c r="R7" s="10" t="s">
        <v>77</v>
      </c>
      <c r="S7" s="10" t="s">
        <v>468</v>
      </c>
      <c r="T7" s="12">
        <v>2018</v>
      </c>
      <c r="U7" s="12">
        <v>215</v>
      </c>
      <c r="V7" s="12">
        <v>1</v>
      </c>
      <c r="Y7" s="12">
        <v>42</v>
      </c>
      <c r="Z7" s="12">
        <v>47</v>
      </c>
      <c r="AB7" s="12" t="s">
        <v>78</v>
      </c>
      <c r="AE7" s="12">
        <v>27</v>
      </c>
      <c r="AF7" s="12">
        <v>6</v>
      </c>
      <c r="AG7" s="12">
        <v>75</v>
      </c>
      <c r="AH7" s="12">
        <v>0</v>
      </c>
      <c r="AI7" s="12">
        <v>0</v>
      </c>
      <c r="AJ7" s="12">
        <v>0</v>
      </c>
      <c r="AK7" s="12">
        <v>0</v>
      </c>
      <c r="AL7" s="12">
        <v>0</v>
      </c>
      <c r="AM7" s="12">
        <v>0</v>
      </c>
      <c r="AN7" s="12">
        <v>0</v>
      </c>
      <c r="AO7" s="12">
        <v>0</v>
      </c>
      <c r="AP7" s="12">
        <v>0</v>
      </c>
      <c r="AQ7" s="12">
        <v>0</v>
      </c>
      <c r="AR7" s="12">
        <v>5</v>
      </c>
      <c r="AS7" s="12">
        <v>7</v>
      </c>
      <c r="AT7" s="12">
        <v>13</v>
      </c>
      <c r="AU7" s="12">
        <v>2</v>
      </c>
    </row>
    <row r="8" spans="1:48" s="30" customFormat="1" ht="238" x14ac:dyDescent="0.2">
      <c r="A8" s="28" t="s">
        <v>469</v>
      </c>
      <c r="B8" s="28" t="s">
        <v>778</v>
      </c>
      <c r="C8" s="28" t="s">
        <v>463</v>
      </c>
      <c r="D8" s="28" t="s">
        <v>700</v>
      </c>
      <c r="E8" s="28" t="s">
        <v>782</v>
      </c>
      <c r="F8" s="28" t="s">
        <v>458</v>
      </c>
      <c r="G8" s="28" t="s">
        <v>780</v>
      </c>
      <c r="H8" s="28" t="s">
        <v>779</v>
      </c>
      <c r="I8" s="28" t="s">
        <v>459</v>
      </c>
      <c r="J8" s="28" t="s">
        <v>458</v>
      </c>
      <c r="K8" s="28" t="s">
        <v>758</v>
      </c>
      <c r="L8" s="28" t="s">
        <v>781</v>
      </c>
      <c r="M8" s="28"/>
      <c r="N8" s="29" t="s">
        <v>470</v>
      </c>
      <c r="O8" s="28" t="s">
        <v>458</v>
      </c>
      <c r="P8" s="28" t="s">
        <v>458</v>
      </c>
      <c r="Q8" s="28" t="s">
        <v>458</v>
      </c>
      <c r="R8" s="28" t="s">
        <v>79</v>
      </c>
      <c r="S8" s="28" t="s">
        <v>80</v>
      </c>
      <c r="T8" s="30" t="s">
        <v>81</v>
      </c>
      <c r="U8" s="30">
        <v>2013</v>
      </c>
      <c r="V8" s="30">
        <v>75</v>
      </c>
      <c r="W8" s="30">
        <v>5</v>
      </c>
      <c r="Z8" s="30">
        <v>753</v>
      </c>
      <c r="AA8" s="30">
        <v>758</v>
      </c>
      <c r="AC8" s="30" t="s">
        <v>82</v>
      </c>
      <c r="AF8" s="30">
        <v>26</v>
      </c>
      <c r="AG8" s="30">
        <v>2</v>
      </c>
      <c r="AH8" s="30">
        <v>89</v>
      </c>
      <c r="AI8" s="30">
        <v>0</v>
      </c>
      <c r="AJ8" s="30">
        <v>0</v>
      </c>
      <c r="AK8" s="30">
        <v>0</v>
      </c>
      <c r="AL8" s="30">
        <v>0</v>
      </c>
      <c r="AM8" s="30">
        <v>0</v>
      </c>
      <c r="AN8" s="30">
        <v>0</v>
      </c>
      <c r="AO8" s="30">
        <v>0</v>
      </c>
      <c r="AP8" s="30">
        <v>3</v>
      </c>
      <c r="AQ8" s="30">
        <v>10</v>
      </c>
      <c r="AR8" s="30">
        <v>3</v>
      </c>
      <c r="AS8" s="30">
        <v>4</v>
      </c>
      <c r="AT8" s="30">
        <v>3</v>
      </c>
      <c r="AU8" s="30">
        <v>3</v>
      </c>
      <c r="AV8" s="30">
        <v>0</v>
      </c>
    </row>
    <row r="9" spans="1:48" s="30" customFormat="1" ht="204" x14ac:dyDescent="0.2">
      <c r="A9" s="28" t="s">
        <v>97</v>
      </c>
      <c r="B9" s="28" t="s">
        <v>724</v>
      </c>
      <c r="C9" s="28" t="s">
        <v>463</v>
      </c>
      <c r="D9" s="28" t="s">
        <v>700</v>
      </c>
      <c r="E9" s="28" t="s">
        <v>725</v>
      </c>
      <c r="F9" s="28" t="s">
        <v>458</v>
      </c>
      <c r="G9" s="28" t="s">
        <v>726</v>
      </c>
      <c r="H9" s="28" t="s">
        <v>727</v>
      </c>
      <c r="I9" s="28" t="s">
        <v>459</v>
      </c>
      <c r="J9" s="28" t="s">
        <v>458</v>
      </c>
      <c r="K9" s="28" t="s">
        <v>758</v>
      </c>
      <c r="L9" s="28" t="s">
        <v>728</v>
      </c>
      <c r="M9" s="34" t="s">
        <v>729</v>
      </c>
      <c r="N9" s="29" t="s">
        <v>474</v>
      </c>
      <c r="O9" s="28" t="s">
        <v>458</v>
      </c>
      <c r="P9" s="28" t="s">
        <v>458</v>
      </c>
      <c r="Q9" s="28" t="s">
        <v>459</v>
      </c>
      <c r="R9" s="28" t="s">
        <v>98</v>
      </c>
      <c r="S9" s="28" t="s">
        <v>26</v>
      </c>
      <c r="T9" s="30">
        <v>2015</v>
      </c>
      <c r="U9" s="30">
        <v>10</v>
      </c>
      <c r="V9" s="30">
        <v>3</v>
      </c>
      <c r="Y9" s="30">
        <v>139</v>
      </c>
      <c r="Z9" s="30">
        <v>145</v>
      </c>
      <c r="AB9" s="30" t="s">
        <v>99</v>
      </c>
      <c r="AE9" s="30">
        <v>21</v>
      </c>
      <c r="AF9" s="30">
        <v>3</v>
      </c>
      <c r="AG9" s="30">
        <v>0</v>
      </c>
      <c r="AH9" s="30">
        <v>0</v>
      </c>
      <c r="AI9" s="30">
        <v>0</v>
      </c>
      <c r="AJ9" s="30">
        <v>0</v>
      </c>
      <c r="AK9" s="30">
        <v>0</v>
      </c>
      <c r="AL9" s="30">
        <v>0</v>
      </c>
      <c r="AM9" s="30">
        <v>0</v>
      </c>
      <c r="AN9" s="30">
        <v>3</v>
      </c>
      <c r="AO9" s="30">
        <v>1</v>
      </c>
      <c r="AP9" s="30">
        <v>5</v>
      </c>
      <c r="AQ9" s="30">
        <v>4</v>
      </c>
      <c r="AR9" s="30">
        <v>2</v>
      </c>
      <c r="AS9" s="30">
        <v>5</v>
      </c>
      <c r="AT9" s="30">
        <v>1</v>
      </c>
    </row>
    <row r="10" spans="1:48" ht="323" x14ac:dyDescent="0.2">
      <c r="A10" s="2" t="s">
        <v>104</v>
      </c>
      <c r="B10" s="2" t="s">
        <v>786</v>
      </c>
      <c r="C10" s="2" t="s">
        <v>463</v>
      </c>
      <c r="D10" s="2" t="s">
        <v>711</v>
      </c>
      <c r="E10" s="2" t="s">
        <v>783</v>
      </c>
      <c r="F10" s="2" t="s">
        <v>459</v>
      </c>
      <c r="G10" s="2" t="s">
        <v>784</v>
      </c>
      <c r="H10" s="2" t="s">
        <v>785</v>
      </c>
      <c r="I10" s="2" t="s">
        <v>459</v>
      </c>
      <c r="J10" s="2" t="s">
        <v>458</v>
      </c>
      <c r="K10" s="2" t="s">
        <v>758</v>
      </c>
      <c r="L10" s="2" t="s">
        <v>788</v>
      </c>
      <c r="M10" s="35" t="s">
        <v>787</v>
      </c>
      <c r="N10" s="7" t="s">
        <v>476</v>
      </c>
      <c r="O10" s="2" t="s">
        <v>458</v>
      </c>
      <c r="P10" s="2" t="s">
        <v>458</v>
      </c>
      <c r="Q10" s="2" t="s">
        <v>458</v>
      </c>
      <c r="R10" s="2" t="s">
        <v>105</v>
      </c>
      <c r="S10" s="2" t="s">
        <v>66</v>
      </c>
      <c r="T10">
        <v>2013</v>
      </c>
      <c r="U10">
        <v>84</v>
      </c>
      <c r="V10">
        <v>7</v>
      </c>
      <c r="Y10">
        <v>992</v>
      </c>
      <c r="Z10">
        <v>998</v>
      </c>
      <c r="AB10" t="s">
        <v>106</v>
      </c>
      <c r="AE10">
        <v>18</v>
      </c>
      <c r="AF10">
        <v>2</v>
      </c>
      <c r="AG10">
        <v>0</v>
      </c>
      <c r="AH10">
        <v>0</v>
      </c>
      <c r="AI10">
        <v>0</v>
      </c>
      <c r="AJ10">
        <v>0</v>
      </c>
      <c r="AK10">
        <v>0</v>
      </c>
      <c r="AL10">
        <v>0</v>
      </c>
      <c r="AM10">
        <v>3</v>
      </c>
      <c r="AN10">
        <v>4</v>
      </c>
      <c r="AO10">
        <v>0</v>
      </c>
      <c r="AP10">
        <v>1</v>
      </c>
      <c r="AQ10">
        <v>1</v>
      </c>
      <c r="AR10">
        <v>6</v>
      </c>
      <c r="AS10">
        <v>3</v>
      </c>
      <c r="AT10">
        <v>0</v>
      </c>
    </row>
    <row r="11" spans="1:48" s="30" customFormat="1" ht="221" x14ac:dyDescent="0.2">
      <c r="A11" s="28" t="s">
        <v>113</v>
      </c>
      <c r="B11" s="28" t="s">
        <v>790</v>
      </c>
      <c r="C11" s="28" t="s">
        <v>463</v>
      </c>
      <c r="D11" s="28" t="s">
        <v>700</v>
      </c>
      <c r="E11" s="28" t="s">
        <v>792</v>
      </c>
      <c r="F11" s="28" t="s">
        <v>459</v>
      </c>
      <c r="G11" s="28" t="s">
        <v>789</v>
      </c>
      <c r="H11" s="28" t="s">
        <v>791</v>
      </c>
      <c r="I11" s="28" t="s">
        <v>459</v>
      </c>
      <c r="J11" s="28" t="s">
        <v>459</v>
      </c>
      <c r="K11" s="28" t="s">
        <v>758</v>
      </c>
      <c r="L11" s="28" t="s">
        <v>758</v>
      </c>
      <c r="M11" s="28" t="s">
        <v>793</v>
      </c>
      <c r="N11" s="29" t="s">
        <v>478</v>
      </c>
      <c r="O11" s="28" t="s">
        <v>458</v>
      </c>
      <c r="P11" s="28" t="s">
        <v>459</v>
      </c>
      <c r="Q11" s="28" t="s">
        <v>458</v>
      </c>
      <c r="R11" s="28" t="s">
        <v>114</v>
      </c>
      <c r="S11" s="28" t="s">
        <v>115</v>
      </c>
      <c r="T11" s="30">
        <v>2017</v>
      </c>
      <c r="U11" s="30">
        <v>29</v>
      </c>
      <c r="V11" s="30">
        <v>1</v>
      </c>
      <c r="Y11" s="30">
        <v>83</v>
      </c>
      <c r="Z11" s="30">
        <v>88</v>
      </c>
      <c r="AB11" s="30" t="s">
        <v>116</v>
      </c>
      <c r="AE11" s="30">
        <v>16</v>
      </c>
      <c r="AF11" s="30">
        <v>3</v>
      </c>
      <c r="AG11" s="30">
        <v>2</v>
      </c>
      <c r="AH11" s="30">
        <v>0</v>
      </c>
      <c r="AI11" s="30">
        <v>0</v>
      </c>
      <c r="AJ11" s="30">
        <v>0</v>
      </c>
      <c r="AK11" s="30">
        <v>0</v>
      </c>
      <c r="AL11" s="30">
        <v>0</v>
      </c>
      <c r="AM11" s="30">
        <v>0</v>
      </c>
      <c r="AN11" s="30">
        <v>0</v>
      </c>
      <c r="AO11" s="30">
        <v>0</v>
      </c>
      <c r="AP11" s="30">
        <v>0</v>
      </c>
      <c r="AQ11" s="30">
        <v>0</v>
      </c>
      <c r="AR11" s="30">
        <v>5</v>
      </c>
      <c r="AS11" s="30">
        <v>3</v>
      </c>
      <c r="AT11" s="30">
        <v>7</v>
      </c>
      <c r="AU11" s="30">
        <v>1</v>
      </c>
    </row>
    <row r="12" spans="1:48" ht="272" x14ac:dyDescent="0.2">
      <c r="A12" s="2" t="s">
        <v>117</v>
      </c>
      <c r="B12" s="2" t="s">
        <v>797</v>
      </c>
      <c r="C12" s="2" t="s">
        <v>463</v>
      </c>
      <c r="D12" s="2" t="s">
        <v>700</v>
      </c>
      <c r="E12" s="2" t="s">
        <v>794</v>
      </c>
      <c r="F12" s="2" t="s">
        <v>458</v>
      </c>
      <c r="G12" s="2" t="s">
        <v>796</v>
      </c>
      <c r="H12" s="2" t="s">
        <v>795</v>
      </c>
      <c r="I12" s="2" t="s">
        <v>459</v>
      </c>
      <c r="J12" s="2" t="s">
        <v>458</v>
      </c>
      <c r="K12" s="2" t="s">
        <v>758</v>
      </c>
      <c r="L12" s="2" t="s">
        <v>798</v>
      </c>
      <c r="N12" s="7" t="s">
        <v>479</v>
      </c>
      <c r="O12" s="2" t="s">
        <v>458</v>
      </c>
      <c r="P12" s="2" t="s">
        <v>458</v>
      </c>
      <c r="Q12" s="2" t="s">
        <v>458</v>
      </c>
      <c r="R12" s="2" t="s">
        <v>118</v>
      </c>
      <c r="S12" s="2" t="s">
        <v>45</v>
      </c>
      <c r="T12">
        <v>2016</v>
      </c>
      <c r="U12">
        <v>73</v>
      </c>
      <c r="V12">
        <v>1</v>
      </c>
      <c r="Y12">
        <v>121</v>
      </c>
      <c r="Z12">
        <v>128</v>
      </c>
      <c r="AB12" t="s">
        <v>119</v>
      </c>
      <c r="AE12">
        <v>16</v>
      </c>
      <c r="AF12">
        <v>2</v>
      </c>
      <c r="AG12">
        <v>67</v>
      </c>
      <c r="AH12">
        <v>0</v>
      </c>
      <c r="AI12">
        <v>0</v>
      </c>
      <c r="AJ12">
        <v>0</v>
      </c>
      <c r="AK12">
        <v>0</v>
      </c>
      <c r="AL12">
        <v>0</v>
      </c>
      <c r="AM12">
        <v>0</v>
      </c>
      <c r="AN12">
        <v>0</v>
      </c>
      <c r="AO12">
        <v>0</v>
      </c>
      <c r="AP12">
        <v>1</v>
      </c>
      <c r="AQ12">
        <v>2</v>
      </c>
      <c r="AR12">
        <v>4</v>
      </c>
      <c r="AS12">
        <v>4</v>
      </c>
      <c r="AT12">
        <v>4</v>
      </c>
      <c r="AU12">
        <v>1</v>
      </c>
    </row>
    <row r="13" spans="1:48" s="12" customFormat="1" ht="272" x14ac:dyDescent="0.2">
      <c r="A13" s="10" t="s">
        <v>120</v>
      </c>
      <c r="B13" s="10" t="s">
        <v>799</v>
      </c>
      <c r="C13" s="10" t="s">
        <v>459</v>
      </c>
      <c r="D13" s="10" t="s">
        <v>700</v>
      </c>
      <c r="E13" s="10" t="s">
        <v>801</v>
      </c>
      <c r="F13" s="10" t="s">
        <v>459</v>
      </c>
      <c r="G13" s="10" t="s">
        <v>802</v>
      </c>
      <c r="H13" s="10" t="s">
        <v>800</v>
      </c>
      <c r="I13" s="10" t="s">
        <v>459</v>
      </c>
      <c r="J13" s="10" t="s">
        <v>458</v>
      </c>
      <c r="K13" s="10" t="s">
        <v>758</v>
      </c>
      <c r="L13" s="10" t="s">
        <v>803</v>
      </c>
      <c r="M13" s="10"/>
      <c r="N13" s="11" t="s">
        <v>480</v>
      </c>
      <c r="O13" s="10" t="s">
        <v>458</v>
      </c>
      <c r="P13" s="10" t="s">
        <v>458</v>
      </c>
      <c r="Q13" s="10" t="s">
        <v>458</v>
      </c>
      <c r="R13" s="10" t="s">
        <v>121</v>
      </c>
      <c r="S13" s="10" t="s">
        <v>481</v>
      </c>
      <c r="T13" s="12">
        <v>2015</v>
      </c>
      <c r="U13" s="12">
        <v>46</v>
      </c>
      <c r="V13" s="12">
        <v>9</v>
      </c>
      <c r="Y13" s="12">
        <v>1796</v>
      </c>
      <c r="Z13" s="12">
        <v>1800</v>
      </c>
      <c r="AB13" s="12" t="s">
        <v>122</v>
      </c>
      <c r="AE13" s="12">
        <v>16</v>
      </c>
      <c r="AF13" s="12">
        <v>2</v>
      </c>
      <c r="AG13" s="12">
        <v>29</v>
      </c>
      <c r="AH13" s="12">
        <v>0</v>
      </c>
      <c r="AI13" s="12">
        <v>0</v>
      </c>
      <c r="AJ13" s="12">
        <v>0</v>
      </c>
      <c r="AK13" s="12">
        <v>0</v>
      </c>
      <c r="AL13" s="12">
        <v>0</v>
      </c>
      <c r="AM13" s="12">
        <v>0</v>
      </c>
      <c r="AN13" s="12">
        <v>0</v>
      </c>
      <c r="AO13" s="12">
        <v>0</v>
      </c>
      <c r="AP13" s="12">
        <v>4</v>
      </c>
      <c r="AQ13" s="12">
        <v>2</v>
      </c>
      <c r="AR13" s="12">
        <v>5</v>
      </c>
      <c r="AS13" s="12">
        <v>2</v>
      </c>
      <c r="AT13" s="12">
        <v>2</v>
      </c>
      <c r="AU13" s="12">
        <v>1</v>
      </c>
    </row>
    <row r="14" spans="1:48" s="30" customFormat="1" ht="153" x14ac:dyDescent="0.2">
      <c r="A14" s="28" t="s">
        <v>134</v>
      </c>
      <c r="B14" s="28" t="s">
        <v>808</v>
      </c>
      <c r="C14" s="28" t="s">
        <v>459</v>
      </c>
      <c r="D14" s="28" t="s">
        <v>700</v>
      </c>
      <c r="E14" s="28" t="s">
        <v>807</v>
      </c>
      <c r="F14" s="28" t="s">
        <v>459</v>
      </c>
      <c r="G14" s="28" t="s">
        <v>805</v>
      </c>
      <c r="H14" s="28" t="s">
        <v>806</v>
      </c>
      <c r="I14" s="28" t="s">
        <v>459</v>
      </c>
      <c r="J14" s="28" t="s">
        <v>758</v>
      </c>
      <c r="K14" s="28" t="s">
        <v>758</v>
      </c>
      <c r="L14" s="28" t="s">
        <v>758</v>
      </c>
      <c r="M14" s="28" t="s">
        <v>804</v>
      </c>
      <c r="N14" s="29" t="s">
        <v>484</v>
      </c>
      <c r="O14" s="28" t="s">
        <v>485</v>
      </c>
      <c r="P14" s="28"/>
      <c r="Q14" s="28"/>
      <c r="R14" s="28" t="s">
        <v>135</v>
      </c>
      <c r="S14" s="28" t="s">
        <v>136</v>
      </c>
      <c r="T14" s="30" t="s">
        <v>137</v>
      </c>
      <c r="U14" s="30">
        <v>2011</v>
      </c>
      <c r="V14" s="30">
        <v>366</v>
      </c>
      <c r="W14" s="30">
        <v>1562</v>
      </c>
      <c r="Z14" s="30">
        <v>276</v>
      </c>
      <c r="AA14" s="30">
        <v>285</v>
      </c>
      <c r="AC14" s="30" t="s">
        <v>138</v>
      </c>
      <c r="AF14" s="30">
        <v>14</v>
      </c>
      <c r="AG14" s="30">
        <v>1</v>
      </c>
      <c r="AH14" s="30">
        <v>27</v>
      </c>
      <c r="AI14" s="30">
        <v>0</v>
      </c>
      <c r="AJ14" s="30">
        <v>0</v>
      </c>
      <c r="AK14" s="30">
        <v>0</v>
      </c>
      <c r="AL14" s="30">
        <v>1</v>
      </c>
      <c r="AM14" s="30">
        <v>1</v>
      </c>
      <c r="AN14" s="30">
        <v>3</v>
      </c>
      <c r="AO14" s="30">
        <v>0</v>
      </c>
      <c r="AP14" s="30">
        <v>1</v>
      </c>
      <c r="AQ14" s="30">
        <v>1</v>
      </c>
      <c r="AR14" s="30">
        <v>4</v>
      </c>
      <c r="AS14" s="30">
        <v>1</v>
      </c>
      <c r="AT14" s="30">
        <v>0</v>
      </c>
      <c r="AU14" s="30">
        <v>2</v>
      </c>
      <c r="AV14" s="30">
        <v>0</v>
      </c>
    </row>
    <row r="15" spans="1:48" ht="289" x14ac:dyDescent="0.2">
      <c r="A15" s="2" t="s">
        <v>139</v>
      </c>
      <c r="B15" s="2" t="s">
        <v>809</v>
      </c>
      <c r="C15" s="2" t="s">
        <v>459</v>
      </c>
      <c r="D15" s="2" t="s">
        <v>700</v>
      </c>
      <c r="E15" s="2" t="s">
        <v>810</v>
      </c>
      <c r="F15" s="2" t="s">
        <v>459</v>
      </c>
      <c r="G15" s="2" t="s">
        <v>812</v>
      </c>
      <c r="H15" s="2" t="s">
        <v>811</v>
      </c>
      <c r="I15" s="2" t="s">
        <v>459</v>
      </c>
      <c r="J15" s="2" t="s">
        <v>458</v>
      </c>
      <c r="K15" s="2" t="s">
        <v>758</v>
      </c>
      <c r="L15" s="2" t="s">
        <v>813</v>
      </c>
      <c r="N15" s="7" t="s">
        <v>486</v>
      </c>
      <c r="O15" s="2" t="s">
        <v>458</v>
      </c>
      <c r="P15" s="2" t="s">
        <v>458</v>
      </c>
      <c r="Q15" s="2" t="s">
        <v>458</v>
      </c>
      <c r="R15" s="2" t="s">
        <v>140</v>
      </c>
      <c r="S15" s="2" t="s">
        <v>141</v>
      </c>
      <c r="T15">
        <v>2010</v>
      </c>
      <c r="U15">
        <v>34</v>
      </c>
      <c r="V15">
        <v>1</v>
      </c>
      <c r="Y15">
        <v>164</v>
      </c>
      <c r="Z15">
        <v>168</v>
      </c>
      <c r="AB15" t="s">
        <v>142</v>
      </c>
      <c r="AE15">
        <v>14</v>
      </c>
      <c r="AF15">
        <v>1</v>
      </c>
      <c r="AG15">
        <v>17</v>
      </c>
      <c r="AH15">
        <v>0</v>
      </c>
      <c r="AI15">
        <v>0</v>
      </c>
      <c r="AJ15">
        <v>0</v>
      </c>
      <c r="AK15">
        <v>1</v>
      </c>
      <c r="AL15">
        <v>1</v>
      </c>
      <c r="AM15">
        <v>2</v>
      </c>
      <c r="AN15">
        <v>0</v>
      </c>
      <c r="AO15">
        <v>2</v>
      </c>
      <c r="AP15">
        <v>3</v>
      </c>
      <c r="AQ15">
        <v>1</v>
      </c>
      <c r="AR15">
        <v>1</v>
      </c>
      <c r="AS15">
        <v>1</v>
      </c>
      <c r="AT15">
        <v>2</v>
      </c>
      <c r="AU15">
        <v>0</v>
      </c>
    </row>
    <row r="16" spans="1:48" ht="255" x14ac:dyDescent="0.2">
      <c r="A16" s="2" t="s">
        <v>146</v>
      </c>
      <c r="B16" s="2" t="s">
        <v>815</v>
      </c>
      <c r="C16" s="2" t="s">
        <v>459</v>
      </c>
      <c r="D16" s="2" t="s">
        <v>694</v>
      </c>
      <c r="E16" s="2" t="s">
        <v>816</v>
      </c>
      <c r="F16" s="2" t="s">
        <v>458</v>
      </c>
      <c r="G16" s="2" t="s">
        <v>814</v>
      </c>
      <c r="H16" s="2" t="s">
        <v>817</v>
      </c>
      <c r="I16" s="2" t="s">
        <v>459</v>
      </c>
      <c r="J16" s="2" t="s">
        <v>459</v>
      </c>
      <c r="K16" s="2" t="s">
        <v>758</v>
      </c>
      <c r="L16" s="2" t="s">
        <v>818</v>
      </c>
      <c r="N16" s="7" t="s">
        <v>488</v>
      </c>
      <c r="O16" s="2" t="s">
        <v>458</v>
      </c>
      <c r="P16" s="2" t="s">
        <v>459</v>
      </c>
      <c r="Q16" s="2" t="s">
        <v>459</v>
      </c>
      <c r="R16" s="2" t="s">
        <v>147</v>
      </c>
      <c r="S16" s="2" t="s">
        <v>22</v>
      </c>
      <c r="T16">
        <v>2010</v>
      </c>
      <c r="U16">
        <v>18</v>
      </c>
      <c r="AA16">
        <v>13</v>
      </c>
      <c r="AB16" t="s">
        <v>148</v>
      </c>
      <c r="AE16">
        <v>13</v>
      </c>
      <c r="AF16">
        <v>1</v>
      </c>
      <c r="AG16">
        <v>8</v>
      </c>
      <c r="AH16">
        <v>0</v>
      </c>
      <c r="AI16">
        <v>0</v>
      </c>
      <c r="AJ16">
        <v>0</v>
      </c>
      <c r="AK16">
        <v>1</v>
      </c>
      <c r="AL16">
        <v>1</v>
      </c>
      <c r="AM16">
        <v>2</v>
      </c>
      <c r="AN16">
        <v>2</v>
      </c>
      <c r="AO16">
        <v>2</v>
      </c>
      <c r="AP16">
        <v>2</v>
      </c>
      <c r="AQ16">
        <v>0</v>
      </c>
      <c r="AR16">
        <v>2</v>
      </c>
      <c r="AS16">
        <v>0</v>
      </c>
      <c r="AT16">
        <v>0</v>
      </c>
      <c r="AU16">
        <v>1</v>
      </c>
    </row>
    <row r="17" spans="1:50" ht="340" x14ac:dyDescent="0.2">
      <c r="A17" s="2" t="s">
        <v>153</v>
      </c>
      <c r="B17" s="2" t="s">
        <v>766</v>
      </c>
      <c r="C17" s="2" t="s">
        <v>459</v>
      </c>
      <c r="D17" s="2" t="s">
        <v>700</v>
      </c>
      <c r="E17" s="2" t="s">
        <v>820</v>
      </c>
      <c r="F17" s="2" t="s">
        <v>458</v>
      </c>
      <c r="G17" s="2" t="s">
        <v>821</v>
      </c>
      <c r="H17" s="2" t="s">
        <v>819</v>
      </c>
      <c r="I17" s="2" t="s">
        <v>459</v>
      </c>
      <c r="J17" s="2" t="s">
        <v>458</v>
      </c>
      <c r="K17" s="2" t="s">
        <v>758</v>
      </c>
      <c r="L17" s="2" t="s">
        <v>822</v>
      </c>
      <c r="N17" s="7" t="s">
        <v>492</v>
      </c>
      <c r="O17" s="2" t="s">
        <v>491</v>
      </c>
      <c r="P17" s="2" t="s">
        <v>459</v>
      </c>
      <c r="Q17" s="2" t="s">
        <v>459</v>
      </c>
      <c r="R17" s="2" t="s">
        <v>154</v>
      </c>
      <c r="S17" s="2" t="s">
        <v>155</v>
      </c>
      <c r="T17">
        <v>2013</v>
      </c>
      <c r="U17">
        <v>154</v>
      </c>
      <c r="V17">
        <v>2</v>
      </c>
      <c r="Y17">
        <v>345</v>
      </c>
      <c r="Z17">
        <v>350</v>
      </c>
      <c r="AB17" t="s">
        <v>156</v>
      </c>
      <c r="AE17">
        <v>12</v>
      </c>
      <c r="AF17">
        <v>1</v>
      </c>
      <c r="AG17">
        <v>33</v>
      </c>
      <c r="AH17">
        <v>0</v>
      </c>
      <c r="AI17">
        <v>0</v>
      </c>
      <c r="AJ17">
        <v>0</v>
      </c>
      <c r="AK17">
        <v>0</v>
      </c>
      <c r="AL17">
        <v>0</v>
      </c>
      <c r="AM17">
        <v>0</v>
      </c>
      <c r="AN17">
        <v>1</v>
      </c>
      <c r="AO17">
        <v>3</v>
      </c>
      <c r="AP17">
        <v>4</v>
      </c>
      <c r="AQ17">
        <v>2</v>
      </c>
      <c r="AR17">
        <v>1</v>
      </c>
      <c r="AS17">
        <v>1</v>
      </c>
      <c r="AT17">
        <v>0</v>
      </c>
      <c r="AU17">
        <v>0</v>
      </c>
    </row>
    <row r="18" spans="1:50" s="30" customFormat="1" ht="289" x14ac:dyDescent="0.2">
      <c r="A18" s="28" t="s">
        <v>162</v>
      </c>
      <c r="B18" s="28" t="s">
        <v>719</v>
      </c>
      <c r="C18" s="28" t="s">
        <v>463</v>
      </c>
      <c r="D18" s="28" t="s">
        <v>700</v>
      </c>
      <c r="E18" s="28" t="s">
        <v>730</v>
      </c>
      <c r="F18" s="28" t="s">
        <v>458</v>
      </c>
      <c r="G18" s="28" t="s">
        <v>731</v>
      </c>
      <c r="H18" s="28" t="s">
        <v>732</v>
      </c>
      <c r="I18" s="28" t="s">
        <v>459</v>
      </c>
      <c r="J18" s="28" t="s">
        <v>458</v>
      </c>
      <c r="K18" s="28" t="s">
        <v>758</v>
      </c>
      <c r="L18" s="28" t="s">
        <v>733</v>
      </c>
      <c r="M18" s="28"/>
      <c r="N18" s="29" t="s">
        <v>494</v>
      </c>
      <c r="O18" s="28" t="s">
        <v>458</v>
      </c>
      <c r="P18" s="28" t="s">
        <v>458</v>
      </c>
      <c r="Q18" s="28" t="s">
        <v>459</v>
      </c>
      <c r="R18" s="28" t="s">
        <v>163</v>
      </c>
      <c r="S18" s="28" t="s">
        <v>164</v>
      </c>
      <c r="T18" s="30">
        <v>2013</v>
      </c>
      <c r="U18" s="30">
        <v>39</v>
      </c>
      <c r="V18" s="30">
        <v>5</v>
      </c>
      <c r="Y18" s="30">
        <v>517</v>
      </c>
      <c r="Z18" s="30">
        <v>522</v>
      </c>
      <c r="AB18" s="30" t="s">
        <v>165</v>
      </c>
      <c r="AE18" s="30">
        <v>11</v>
      </c>
      <c r="AF18" s="30">
        <v>1</v>
      </c>
      <c r="AG18" s="30">
        <v>22</v>
      </c>
      <c r="AH18" s="30">
        <v>0</v>
      </c>
      <c r="AI18" s="30">
        <v>0</v>
      </c>
      <c r="AJ18" s="30">
        <v>0</v>
      </c>
      <c r="AK18" s="30">
        <v>0</v>
      </c>
      <c r="AL18" s="30">
        <v>0</v>
      </c>
      <c r="AM18" s="30">
        <v>0</v>
      </c>
      <c r="AN18" s="30">
        <v>3</v>
      </c>
      <c r="AO18" s="30">
        <v>2</v>
      </c>
      <c r="AP18" s="30">
        <v>1</v>
      </c>
      <c r="AQ18" s="30">
        <v>4</v>
      </c>
      <c r="AR18" s="30">
        <v>1</v>
      </c>
      <c r="AS18" s="30">
        <v>0</v>
      </c>
      <c r="AT18" s="30">
        <v>0</v>
      </c>
      <c r="AU18" s="30">
        <v>0</v>
      </c>
    </row>
    <row r="19" spans="1:50" ht="388" x14ac:dyDescent="0.2">
      <c r="A19" s="2" t="s">
        <v>166</v>
      </c>
      <c r="B19" s="2" t="s">
        <v>826</v>
      </c>
      <c r="C19" s="2" t="s">
        <v>459</v>
      </c>
      <c r="D19" s="2" t="s">
        <v>711</v>
      </c>
      <c r="E19" s="2" t="s">
        <v>823</v>
      </c>
      <c r="F19" s="2" t="s">
        <v>459</v>
      </c>
      <c r="G19" s="2" t="s">
        <v>824</v>
      </c>
      <c r="H19" s="2" t="s">
        <v>825</v>
      </c>
      <c r="I19" s="2" t="s">
        <v>459</v>
      </c>
      <c r="J19" s="2" t="s">
        <v>458</v>
      </c>
      <c r="K19" s="2" t="s">
        <v>758</v>
      </c>
      <c r="L19" s="2" t="s">
        <v>827</v>
      </c>
      <c r="N19" s="7" t="s">
        <v>495</v>
      </c>
      <c r="O19" s="2" t="s">
        <v>496</v>
      </c>
      <c r="P19" s="2" t="s">
        <v>458</v>
      </c>
      <c r="Q19" s="2" t="s">
        <v>458</v>
      </c>
      <c r="R19" s="2" t="s">
        <v>167</v>
      </c>
      <c r="S19" s="2" t="s">
        <v>164</v>
      </c>
      <c r="T19">
        <v>2014</v>
      </c>
      <c r="U19">
        <v>40</v>
      </c>
      <c r="V19">
        <v>4</v>
      </c>
      <c r="Y19">
        <v>429</v>
      </c>
      <c r="Z19">
        <v>443</v>
      </c>
      <c r="AB19" t="s">
        <v>168</v>
      </c>
      <c r="AE19">
        <v>10</v>
      </c>
      <c r="AF19">
        <v>1</v>
      </c>
      <c r="AG19">
        <v>25</v>
      </c>
      <c r="AH19">
        <v>0</v>
      </c>
      <c r="AI19">
        <v>0</v>
      </c>
      <c r="AJ19">
        <v>0</v>
      </c>
      <c r="AK19">
        <v>0</v>
      </c>
      <c r="AL19">
        <v>0</v>
      </c>
      <c r="AM19">
        <v>0</v>
      </c>
      <c r="AN19">
        <v>1</v>
      </c>
      <c r="AO19">
        <v>1</v>
      </c>
      <c r="AP19">
        <v>1</v>
      </c>
      <c r="AQ19">
        <v>2</v>
      </c>
      <c r="AR19">
        <v>1</v>
      </c>
      <c r="AS19">
        <v>0</v>
      </c>
      <c r="AT19">
        <v>4</v>
      </c>
      <c r="AU19">
        <v>0</v>
      </c>
    </row>
    <row r="20" spans="1:50" s="12" customFormat="1" ht="323" x14ac:dyDescent="0.2">
      <c r="A20" s="10" t="s">
        <v>179</v>
      </c>
      <c r="B20" s="10" t="s">
        <v>734</v>
      </c>
      <c r="C20" s="10" t="s">
        <v>458</v>
      </c>
      <c r="D20" s="10" t="s">
        <v>700</v>
      </c>
      <c r="E20" s="10" t="s">
        <v>735</v>
      </c>
      <c r="F20" s="10" t="s">
        <v>459</v>
      </c>
      <c r="G20" s="10" t="s">
        <v>736</v>
      </c>
      <c r="H20" s="10" t="s">
        <v>737</v>
      </c>
      <c r="I20" s="10" t="s">
        <v>459</v>
      </c>
      <c r="J20" s="10" t="s">
        <v>458</v>
      </c>
      <c r="K20" s="10" t="s">
        <v>758</v>
      </c>
      <c r="L20" s="10" t="s">
        <v>738</v>
      </c>
      <c r="M20" s="10"/>
      <c r="N20" s="11" t="s">
        <v>499</v>
      </c>
      <c r="O20" s="10" t="s">
        <v>458</v>
      </c>
      <c r="P20" s="10" t="s">
        <v>458</v>
      </c>
      <c r="Q20" s="10" t="s">
        <v>459</v>
      </c>
      <c r="R20" s="10" t="s">
        <v>180</v>
      </c>
      <c r="S20" s="10" t="s">
        <v>181</v>
      </c>
      <c r="T20" s="12">
        <v>2013</v>
      </c>
      <c r="U20" s="12">
        <v>29</v>
      </c>
      <c r="V20" s="12">
        <v>5</v>
      </c>
      <c r="Y20" s="12">
        <v>1265</v>
      </c>
      <c r="Z20" s="12">
        <v>1268</v>
      </c>
      <c r="AE20" s="12">
        <v>10</v>
      </c>
      <c r="AF20" s="12">
        <v>1</v>
      </c>
      <c r="AG20" s="12">
        <v>11</v>
      </c>
      <c r="AH20" s="12">
        <v>0</v>
      </c>
      <c r="AI20" s="12">
        <v>0</v>
      </c>
      <c r="AJ20" s="12">
        <v>0</v>
      </c>
      <c r="AK20" s="12">
        <v>0</v>
      </c>
      <c r="AL20" s="12">
        <v>0</v>
      </c>
      <c r="AM20" s="12">
        <v>0</v>
      </c>
      <c r="AN20" s="12">
        <v>0</v>
      </c>
      <c r="AO20" s="12">
        <v>1</v>
      </c>
      <c r="AP20" s="12">
        <v>1</v>
      </c>
      <c r="AQ20" s="12">
        <v>2</v>
      </c>
      <c r="AR20" s="12">
        <v>2</v>
      </c>
      <c r="AS20" s="12">
        <v>1</v>
      </c>
      <c r="AT20" s="12">
        <v>3</v>
      </c>
      <c r="AU20" s="12">
        <v>0</v>
      </c>
    </row>
    <row r="21" spans="1:50" ht="215" customHeight="1" x14ac:dyDescent="0.2">
      <c r="A21" s="2" t="s">
        <v>182</v>
      </c>
      <c r="B21" s="2" t="s">
        <v>739</v>
      </c>
      <c r="C21" s="2" t="s">
        <v>459</v>
      </c>
      <c r="D21" s="2" t="s">
        <v>700</v>
      </c>
      <c r="E21" s="2" t="s">
        <v>740</v>
      </c>
      <c r="F21" s="2" t="s">
        <v>458</v>
      </c>
      <c r="G21" s="2" t="s">
        <v>741</v>
      </c>
      <c r="H21" s="2" t="s">
        <v>742</v>
      </c>
      <c r="I21" s="2" t="s">
        <v>459</v>
      </c>
      <c r="J21" s="2" t="s">
        <v>458</v>
      </c>
      <c r="K21" s="2" t="s">
        <v>758</v>
      </c>
      <c r="L21" s="2" t="s">
        <v>743</v>
      </c>
      <c r="N21" s="7" t="s">
        <v>500</v>
      </c>
      <c r="O21" s="2" t="s">
        <v>458</v>
      </c>
      <c r="P21" s="2" t="s">
        <v>458</v>
      </c>
      <c r="Q21" s="2" t="s">
        <v>459</v>
      </c>
      <c r="R21" s="2" t="s">
        <v>183</v>
      </c>
      <c r="S21" s="2" t="s">
        <v>184</v>
      </c>
      <c r="T21">
        <v>2010</v>
      </c>
      <c r="U21">
        <v>162</v>
      </c>
      <c r="V21">
        <v>1</v>
      </c>
      <c r="Y21">
        <v>7</v>
      </c>
      <c r="Z21">
        <v>10</v>
      </c>
      <c r="AB21" t="s">
        <v>185</v>
      </c>
      <c r="AE21">
        <v>10</v>
      </c>
      <c r="AF21">
        <v>0</v>
      </c>
      <c r="AG21">
        <v>83</v>
      </c>
      <c r="AH21">
        <v>0</v>
      </c>
      <c r="AI21">
        <v>0</v>
      </c>
      <c r="AJ21">
        <v>0</v>
      </c>
      <c r="AK21">
        <v>1</v>
      </c>
      <c r="AL21">
        <v>1</v>
      </c>
      <c r="AM21">
        <v>2</v>
      </c>
      <c r="AN21">
        <v>1</v>
      </c>
      <c r="AO21">
        <v>2</v>
      </c>
      <c r="AP21">
        <v>1</v>
      </c>
      <c r="AQ21">
        <v>1</v>
      </c>
      <c r="AR21">
        <v>0</v>
      </c>
      <c r="AS21">
        <v>1</v>
      </c>
      <c r="AT21">
        <v>0</v>
      </c>
      <c r="AU21">
        <v>0</v>
      </c>
    </row>
    <row r="22" spans="1:50" ht="408" customHeight="1" x14ac:dyDescent="0.2">
      <c r="A22" s="2" t="s">
        <v>186</v>
      </c>
      <c r="B22" s="2" t="s">
        <v>744</v>
      </c>
      <c r="C22" s="2" t="s">
        <v>458</v>
      </c>
      <c r="D22" s="2" t="s">
        <v>700</v>
      </c>
      <c r="E22" s="2" t="s">
        <v>745</v>
      </c>
      <c r="F22" s="2" t="s">
        <v>459</v>
      </c>
      <c r="G22" s="2" t="s">
        <v>746</v>
      </c>
      <c r="H22" s="2" t="s">
        <v>747</v>
      </c>
      <c r="I22" s="2" t="s">
        <v>459</v>
      </c>
      <c r="J22" s="2" t="s">
        <v>458</v>
      </c>
      <c r="K22" s="2" t="s">
        <v>828</v>
      </c>
      <c r="L22" s="2" t="s">
        <v>748</v>
      </c>
      <c r="N22" s="7" t="s">
        <v>501</v>
      </c>
      <c r="O22" s="2" t="s">
        <v>458</v>
      </c>
      <c r="P22" s="2" t="s">
        <v>458</v>
      </c>
      <c r="Q22" s="2" t="s">
        <v>459</v>
      </c>
      <c r="R22" s="2" t="s">
        <v>187</v>
      </c>
      <c r="S22" s="2" t="s">
        <v>188</v>
      </c>
      <c r="T22">
        <v>2018</v>
      </c>
      <c r="U22">
        <v>9</v>
      </c>
      <c r="Y22">
        <v>86</v>
      </c>
      <c r="Z22">
        <v>92</v>
      </c>
      <c r="AB22" t="s">
        <v>189</v>
      </c>
      <c r="AE22">
        <v>9</v>
      </c>
      <c r="AF22">
        <v>2</v>
      </c>
      <c r="AG22">
        <v>25</v>
      </c>
      <c r="AH22">
        <v>0</v>
      </c>
      <c r="AI22">
        <v>0</v>
      </c>
      <c r="AJ22">
        <v>0</v>
      </c>
      <c r="AK22">
        <v>0</v>
      </c>
      <c r="AL22">
        <v>0</v>
      </c>
      <c r="AM22">
        <v>0</v>
      </c>
      <c r="AN22">
        <v>0</v>
      </c>
      <c r="AO22">
        <v>0</v>
      </c>
      <c r="AP22">
        <v>0</v>
      </c>
      <c r="AQ22">
        <v>0</v>
      </c>
      <c r="AR22">
        <v>0</v>
      </c>
      <c r="AS22">
        <v>4</v>
      </c>
      <c r="AT22">
        <v>5</v>
      </c>
      <c r="AU22">
        <v>0</v>
      </c>
    </row>
    <row r="23" spans="1:50" ht="204" x14ac:dyDescent="0.2">
      <c r="A23" s="2" t="s">
        <v>190</v>
      </c>
      <c r="B23" s="2" t="s">
        <v>829</v>
      </c>
      <c r="C23" s="2" t="s">
        <v>459</v>
      </c>
      <c r="D23" s="2" t="s">
        <v>694</v>
      </c>
      <c r="E23" s="2" t="s">
        <v>782</v>
      </c>
      <c r="F23" s="2" t="s">
        <v>458</v>
      </c>
      <c r="G23" s="2" t="s">
        <v>830</v>
      </c>
      <c r="H23" s="2" t="s">
        <v>832</v>
      </c>
      <c r="I23" s="2" t="s">
        <v>459</v>
      </c>
      <c r="J23" s="2" t="s">
        <v>458</v>
      </c>
      <c r="K23" s="2" t="s">
        <v>833</v>
      </c>
      <c r="L23" s="2" t="s">
        <v>831</v>
      </c>
      <c r="N23" s="7" t="s">
        <v>502</v>
      </c>
      <c r="R23" s="2" t="s">
        <v>191</v>
      </c>
      <c r="S23" s="2" t="s">
        <v>184</v>
      </c>
      <c r="T23">
        <v>2015</v>
      </c>
      <c r="U23">
        <v>197</v>
      </c>
      <c r="V23">
        <v>2</v>
      </c>
      <c r="Y23">
        <v>331</v>
      </c>
      <c r="Z23">
        <v>338</v>
      </c>
      <c r="AB23" t="s">
        <v>192</v>
      </c>
      <c r="AE23">
        <v>9</v>
      </c>
      <c r="AF23">
        <v>1</v>
      </c>
      <c r="AG23">
        <v>29</v>
      </c>
      <c r="AH23">
        <v>0</v>
      </c>
      <c r="AI23">
        <v>0</v>
      </c>
      <c r="AJ23">
        <v>0</v>
      </c>
      <c r="AK23">
        <v>0</v>
      </c>
      <c r="AL23">
        <v>0</v>
      </c>
      <c r="AM23">
        <v>0</v>
      </c>
      <c r="AN23">
        <v>0</v>
      </c>
      <c r="AO23">
        <v>0</v>
      </c>
      <c r="AP23">
        <v>3</v>
      </c>
      <c r="AQ23">
        <v>0</v>
      </c>
      <c r="AR23">
        <v>0</v>
      </c>
      <c r="AS23">
        <v>2</v>
      </c>
      <c r="AT23">
        <v>4</v>
      </c>
      <c r="AU23">
        <v>0</v>
      </c>
    </row>
    <row r="24" spans="1:50" ht="187" x14ac:dyDescent="0.2">
      <c r="A24" s="2" t="s">
        <v>200</v>
      </c>
      <c r="B24" s="2" t="s">
        <v>834</v>
      </c>
      <c r="C24" s="2" t="s">
        <v>459</v>
      </c>
      <c r="D24" s="2" t="s">
        <v>700</v>
      </c>
      <c r="E24" s="2" t="s">
        <v>750</v>
      </c>
      <c r="F24" s="2" t="s">
        <v>458</v>
      </c>
      <c r="G24" s="2" t="s">
        <v>758</v>
      </c>
      <c r="H24" s="2" t="s">
        <v>758</v>
      </c>
      <c r="I24" s="2" t="s">
        <v>758</v>
      </c>
      <c r="J24" s="2" t="s">
        <v>758</v>
      </c>
      <c r="K24" s="2" t="s">
        <v>758</v>
      </c>
      <c r="L24" s="2" t="s">
        <v>758</v>
      </c>
      <c r="M24" s="2" t="s">
        <v>835</v>
      </c>
      <c r="N24" s="7" t="s">
        <v>505</v>
      </c>
      <c r="O24" s="2" t="s">
        <v>506</v>
      </c>
      <c r="P24" s="2" t="s">
        <v>458</v>
      </c>
      <c r="Q24" s="2" t="s">
        <v>459</v>
      </c>
      <c r="R24" s="2" t="s">
        <v>201</v>
      </c>
      <c r="S24" s="2" t="s">
        <v>202</v>
      </c>
      <c r="T24">
        <v>2018</v>
      </c>
      <c r="U24">
        <v>25</v>
      </c>
      <c r="V24">
        <v>2</v>
      </c>
      <c r="X24" t="s">
        <v>31</v>
      </c>
      <c r="Y24">
        <v>144</v>
      </c>
      <c r="Z24">
        <v>147</v>
      </c>
      <c r="AB24" t="s">
        <v>203</v>
      </c>
      <c r="AC24" t="s">
        <v>204</v>
      </c>
      <c r="AD24" t="s">
        <v>205</v>
      </c>
      <c r="AE24" t="s">
        <v>206</v>
      </c>
      <c r="AF24" s="1">
        <v>42491</v>
      </c>
      <c r="AG24">
        <v>2017</v>
      </c>
      <c r="AH24">
        <v>7</v>
      </c>
      <c r="AI24">
        <v>1</v>
      </c>
      <c r="AJ24">
        <v>75</v>
      </c>
      <c r="AK24">
        <v>0</v>
      </c>
      <c r="AL24">
        <v>0</v>
      </c>
      <c r="AM24">
        <v>0</v>
      </c>
      <c r="AN24">
        <v>0</v>
      </c>
      <c r="AO24">
        <v>0</v>
      </c>
      <c r="AP24">
        <v>0</v>
      </c>
      <c r="AQ24">
        <v>0</v>
      </c>
      <c r="AR24">
        <v>0</v>
      </c>
      <c r="AS24">
        <v>0</v>
      </c>
      <c r="AT24">
        <v>0</v>
      </c>
      <c r="AU24">
        <v>0</v>
      </c>
      <c r="AV24">
        <v>2</v>
      </c>
      <c r="AW24">
        <v>3</v>
      </c>
      <c r="AX24">
        <v>2</v>
      </c>
    </row>
    <row r="25" spans="1:50" ht="306" x14ac:dyDescent="0.2">
      <c r="A25" s="2" t="s">
        <v>207</v>
      </c>
      <c r="B25" s="2" t="s">
        <v>766</v>
      </c>
      <c r="C25" s="2" t="s">
        <v>459</v>
      </c>
      <c r="D25" s="2" t="s">
        <v>700</v>
      </c>
      <c r="E25" s="2" t="s">
        <v>750</v>
      </c>
      <c r="F25" s="2" t="s">
        <v>458</v>
      </c>
      <c r="G25" s="2" t="s">
        <v>836</v>
      </c>
      <c r="H25" s="2" t="s">
        <v>837</v>
      </c>
      <c r="I25" s="2" t="s">
        <v>459</v>
      </c>
      <c r="J25" s="2" t="s">
        <v>458</v>
      </c>
      <c r="K25" s="2" t="s">
        <v>839</v>
      </c>
      <c r="L25" s="2" t="s">
        <v>838</v>
      </c>
      <c r="N25" s="7" t="s">
        <v>507</v>
      </c>
      <c r="O25" s="2" t="s">
        <v>458</v>
      </c>
      <c r="P25" s="2" t="s">
        <v>459</v>
      </c>
      <c r="Q25" s="2" t="s">
        <v>458</v>
      </c>
      <c r="R25" s="2" t="s">
        <v>208</v>
      </c>
      <c r="S25" s="2" t="s">
        <v>209</v>
      </c>
      <c r="T25" t="s">
        <v>155</v>
      </c>
      <c r="U25">
        <v>2017</v>
      </c>
      <c r="V25">
        <v>162</v>
      </c>
      <c r="W25">
        <v>1</v>
      </c>
      <c r="Z25">
        <v>174</v>
      </c>
      <c r="AA25">
        <v>181</v>
      </c>
      <c r="AC25" t="s">
        <v>210</v>
      </c>
      <c r="AF25">
        <v>7</v>
      </c>
      <c r="AG25">
        <v>1</v>
      </c>
      <c r="AH25">
        <v>4</v>
      </c>
      <c r="AI25">
        <v>0</v>
      </c>
      <c r="AJ25">
        <v>0</v>
      </c>
      <c r="AK25">
        <v>0</v>
      </c>
      <c r="AL25">
        <v>0</v>
      </c>
      <c r="AM25">
        <v>0</v>
      </c>
      <c r="AN25">
        <v>0</v>
      </c>
      <c r="AO25">
        <v>0</v>
      </c>
      <c r="AP25">
        <v>0</v>
      </c>
      <c r="AQ25">
        <v>0</v>
      </c>
      <c r="AR25">
        <v>0</v>
      </c>
      <c r="AS25">
        <v>3</v>
      </c>
      <c r="AT25">
        <v>2</v>
      </c>
      <c r="AU25">
        <v>1</v>
      </c>
      <c r="AV25">
        <v>1</v>
      </c>
    </row>
    <row r="26" spans="1:50" ht="238" x14ac:dyDescent="0.2">
      <c r="A26" s="2" t="s">
        <v>215</v>
      </c>
      <c r="B26" s="2" t="s">
        <v>840</v>
      </c>
      <c r="C26" s="2" t="s">
        <v>459</v>
      </c>
      <c r="D26" s="2" t="s">
        <v>700</v>
      </c>
      <c r="E26" s="2" t="s">
        <v>842</v>
      </c>
      <c r="F26" s="2" t="s">
        <v>458</v>
      </c>
      <c r="G26" s="2" t="s">
        <v>841</v>
      </c>
      <c r="H26" s="2" t="s">
        <v>843</v>
      </c>
      <c r="I26" s="2" t="s">
        <v>459</v>
      </c>
      <c r="J26" s="2" t="s">
        <v>458</v>
      </c>
      <c r="K26" s="2" t="s">
        <v>758</v>
      </c>
      <c r="L26" s="2" t="s">
        <v>844</v>
      </c>
      <c r="N26" s="7" t="s">
        <v>508</v>
      </c>
      <c r="R26" s="2" t="s">
        <v>216</v>
      </c>
      <c r="S26" s="2" t="s">
        <v>217</v>
      </c>
      <c r="T26">
        <v>2016</v>
      </c>
      <c r="U26">
        <v>8</v>
      </c>
      <c r="V26">
        <v>1</v>
      </c>
      <c r="AA26" t="s">
        <v>218</v>
      </c>
      <c r="AB26" t="s">
        <v>219</v>
      </c>
      <c r="AE26">
        <v>7</v>
      </c>
      <c r="AF26">
        <v>1</v>
      </c>
      <c r="AG26">
        <v>17</v>
      </c>
      <c r="AH26">
        <v>0</v>
      </c>
      <c r="AI26">
        <v>0</v>
      </c>
      <c r="AJ26">
        <v>0</v>
      </c>
      <c r="AK26">
        <v>0</v>
      </c>
      <c r="AL26">
        <v>0</v>
      </c>
      <c r="AM26">
        <v>0</v>
      </c>
      <c r="AN26">
        <v>0</v>
      </c>
      <c r="AO26">
        <v>0</v>
      </c>
      <c r="AP26">
        <v>0</v>
      </c>
      <c r="AQ26">
        <v>1</v>
      </c>
      <c r="AR26">
        <v>3</v>
      </c>
      <c r="AS26">
        <v>1</v>
      </c>
      <c r="AT26">
        <v>2</v>
      </c>
      <c r="AU26">
        <v>0</v>
      </c>
    </row>
    <row r="27" spans="1:50" ht="272" x14ac:dyDescent="0.2">
      <c r="A27" s="2" t="s">
        <v>230</v>
      </c>
      <c r="B27" s="2" t="s">
        <v>846</v>
      </c>
      <c r="C27" s="2" t="s">
        <v>459</v>
      </c>
      <c r="D27" s="2" t="s">
        <v>700</v>
      </c>
      <c r="E27" s="2" t="s">
        <v>820</v>
      </c>
      <c r="F27" s="2" t="s">
        <v>458</v>
      </c>
      <c r="G27" s="2" t="s">
        <v>848</v>
      </c>
      <c r="H27" s="2" t="s">
        <v>847</v>
      </c>
      <c r="I27" s="2" t="s">
        <v>459</v>
      </c>
      <c r="J27" s="2" t="s">
        <v>459</v>
      </c>
      <c r="K27" s="2" t="s">
        <v>758</v>
      </c>
      <c r="L27" s="2" t="s">
        <v>849</v>
      </c>
      <c r="N27" s="7" t="s">
        <v>556</v>
      </c>
      <c r="O27" s="2" t="s">
        <v>458</v>
      </c>
      <c r="P27" s="2" t="s">
        <v>459</v>
      </c>
      <c r="Q27" s="2" t="s">
        <v>458</v>
      </c>
      <c r="R27" s="2" t="s">
        <v>231</v>
      </c>
      <c r="S27" s="2" t="s">
        <v>45</v>
      </c>
      <c r="T27">
        <v>2018</v>
      </c>
      <c r="U27">
        <v>75</v>
      </c>
      <c r="V27">
        <v>4</v>
      </c>
      <c r="Y27">
        <v>978</v>
      </c>
      <c r="Z27">
        <v>983</v>
      </c>
      <c r="AB27" t="s">
        <v>232</v>
      </c>
      <c r="AE27">
        <v>6</v>
      </c>
      <c r="AF27">
        <v>1</v>
      </c>
      <c r="AG27">
        <v>5</v>
      </c>
      <c r="AH27">
        <v>0</v>
      </c>
      <c r="AI27">
        <v>0</v>
      </c>
      <c r="AJ27">
        <v>0</v>
      </c>
      <c r="AK27">
        <v>0</v>
      </c>
      <c r="AL27">
        <v>0</v>
      </c>
      <c r="AM27">
        <v>0</v>
      </c>
      <c r="AN27">
        <v>0</v>
      </c>
      <c r="AO27">
        <v>0</v>
      </c>
      <c r="AP27">
        <v>0</v>
      </c>
      <c r="AQ27">
        <v>0</v>
      </c>
      <c r="AR27">
        <v>0</v>
      </c>
      <c r="AS27">
        <v>4</v>
      </c>
      <c r="AT27">
        <v>0</v>
      </c>
      <c r="AU27">
        <v>2</v>
      </c>
    </row>
    <row r="28" spans="1:50" ht="255" x14ac:dyDescent="0.2">
      <c r="A28" s="2" t="s">
        <v>240</v>
      </c>
      <c r="B28" s="2" t="s">
        <v>766</v>
      </c>
      <c r="C28" s="2" t="s">
        <v>459</v>
      </c>
      <c r="D28" s="2" t="s">
        <v>700</v>
      </c>
      <c r="E28" s="2" t="s">
        <v>852</v>
      </c>
      <c r="F28" s="2" t="s">
        <v>852</v>
      </c>
      <c r="G28" s="2" t="s">
        <v>853</v>
      </c>
      <c r="H28" s="2" t="s">
        <v>851</v>
      </c>
      <c r="I28" s="2" t="s">
        <v>459</v>
      </c>
      <c r="J28" s="2" t="s">
        <v>458</v>
      </c>
      <c r="K28" s="2" t="s">
        <v>758</v>
      </c>
      <c r="L28" s="2" t="s">
        <v>850</v>
      </c>
      <c r="N28" s="7" t="s">
        <v>559</v>
      </c>
      <c r="R28" s="2" t="s">
        <v>241</v>
      </c>
      <c r="S28" s="2" t="s">
        <v>242</v>
      </c>
      <c r="T28">
        <v>2016</v>
      </c>
      <c r="U28">
        <v>82</v>
      </c>
      <c r="V28">
        <v>3</v>
      </c>
      <c r="Y28">
        <v>212</v>
      </c>
      <c r="Z28">
        <v>215</v>
      </c>
      <c r="AE28">
        <v>6</v>
      </c>
      <c r="AF28">
        <v>1</v>
      </c>
      <c r="AG28">
        <v>0</v>
      </c>
      <c r="AH28">
        <v>0</v>
      </c>
      <c r="AI28">
        <v>0</v>
      </c>
      <c r="AJ28">
        <v>0</v>
      </c>
      <c r="AK28">
        <v>0</v>
      </c>
      <c r="AL28">
        <v>0</v>
      </c>
      <c r="AM28">
        <v>0</v>
      </c>
      <c r="AN28">
        <v>0</v>
      </c>
      <c r="AO28">
        <v>0</v>
      </c>
      <c r="AP28">
        <v>2</v>
      </c>
      <c r="AQ28">
        <v>0</v>
      </c>
      <c r="AR28">
        <v>2</v>
      </c>
      <c r="AS28">
        <v>2</v>
      </c>
      <c r="AT28">
        <v>0</v>
      </c>
    </row>
    <row r="29" spans="1:50" ht="102" x14ac:dyDescent="0.2">
      <c r="A29" s="2" t="s">
        <v>261</v>
      </c>
      <c r="B29" s="2" t="s">
        <v>766</v>
      </c>
      <c r="C29" s="2" t="s">
        <v>459</v>
      </c>
      <c r="D29" s="2" t="s">
        <v>700</v>
      </c>
      <c r="E29" s="2" t="s">
        <v>855</v>
      </c>
      <c r="F29" s="2" t="s">
        <v>458</v>
      </c>
      <c r="G29" s="2" t="s">
        <v>856</v>
      </c>
      <c r="H29" s="2" t="s">
        <v>854</v>
      </c>
      <c r="I29" s="2" t="s">
        <v>459</v>
      </c>
      <c r="J29" s="2" t="s">
        <v>458</v>
      </c>
      <c r="K29" s="2" t="s">
        <v>758</v>
      </c>
      <c r="L29" s="2" t="s">
        <v>857</v>
      </c>
      <c r="M29" s="35" t="s">
        <v>858</v>
      </c>
      <c r="N29" s="7" t="s">
        <v>567</v>
      </c>
      <c r="O29" s="2" t="s">
        <v>566</v>
      </c>
      <c r="P29" s="2" t="s">
        <v>458</v>
      </c>
      <c r="Q29" s="2" t="s">
        <v>459</v>
      </c>
      <c r="R29" s="2" t="s">
        <v>262</v>
      </c>
      <c r="S29" s="2" t="s">
        <v>263</v>
      </c>
      <c r="T29">
        <v>2017</v>
      </c>
      <c r="U29">
        <v>8</v>
      </c>
      <c r="Y29">
        <v>481</v>
      </c>
      <c r="Z29">
        <v>486</v>
      </c>
      <c r="AB29" t="s">
        <v>264</v>
      </c>
      <c r="AE29">
        <v>5</v>
      </c>
      <c r="AF29">
        <v>1</v>
      </c>
      <c r="AG29">
        <v>0</v>
      </c>
      <c r="AH29">
        <v>0</v>
      </c>
      <c r="AI29">
        <v>0</v>
      </c>
      <c r="AJ29">
        <v>0</v>
      </c>
      <c r="AK29">
        <v>0</v>
      </c>
      <c r="AL29">
        <v>0</v>
      </c>
      <c r="AM29">
        <v>0</v>
      </c>
      <c r="AN29">
        <v>0</v>
      </c>
      <c r="AO29">
        <v>0</v>
      </c>
      <c r="AP29">
        <v>1</v>
      </c>
      <c r="AQ29">
        <v>1</v>
      </c>
      <c r="AR29">
        <v>1</v>
      </c>
      <c r="AS29">
        <v>2</v>
      </c>
      <c r="AT29">
        <v>0</v>
      </c>
    </row>
    <row r="30" spans="1:50" s="30" customFormat="1" ht="408" customHeight="1" x14ac:dyDescent="0.2">
      <c r="A30" s="28" t="s">
        <v>265</v>
      </c>
      <c r="B30" s="28" t="s">
        <v>749</v>
      </c>
      <c r="C30" s="28" t="s">
        <v>459</v>
      </c>
      <c r="D30" s="28" t="s">
        <v>694</v>
      </c>
      <c r="E30" s="28" t="s">
        <v>750</v>
      </c>
      <c r="F30" s="28" t="s">
        <v>458</v>
      </c>
      <c r="G30" s="28" t="s">
        <v>751</v>
      </c>
      <c r="H30" s="28" t="s">
        <v>752</v>
      </c>
      <c r="I30" s="28" t="s">
        <v>459</v>
      </c>
      <c r="J30" s="28" t="s">
        <v>459</v>
      </c>
      <c r="K30" s="28" t="s">
        <v>758</v>
      </c>
      <c r="L30" s="28" t="s">
        <v>859</v>
      </c>
      <c r="M30" s="28"/>
      <c r="N30" s="29" t="s">
        <v>568</v>
      </c>
      <c r="O30" s="28" t="s">
        <v>458</v>
      </c>
      <c r="P30" s="28" t="s">
        <v>458</v>
      </c>
      <c r="Q30" s="28" t="s">
        <v>459</v>
      </c>
      <c r="R30" s="28" t="s">
        <v>266</v>
      </c>
      <c r="S30" s="28" t="s">
        <v>267</v>
      </c>
      <c r="T30" s="30">
        <v>2016</v>
      </c>
      <c r="U30" s="30">
        <v>2016</v>
      </c>
      <c r="AA30" s="30" t="s">
        <v>268</v>
      </c>
      <c r="AB30" s="30" t="s">
        <v>269</v>
      </c>
      <c r="AE30" s="30">
        <v>5</v>
      </c>
      <c r="AF30" s="30">
        <v>0</v>
      </c>
      <c r="AG30" s="30">
        <v>83</v>
      </c>
      <c r="AH30" s="30">
        <v>0</v>
      </c>
      <c r="AI30" s="30">
        <v>0</v>
      </c>
      <c r="AJ30" s="30">
        <v>0</v>
      </c>
      <c r="AK30" s="30">
        <v>0</v>
      </c>
      <c r="AL30" s="30">
        <v>0</v>
      </c>
      <c r="AM30" s="30">
        <v>0</v>
      </c>
      <c r="AN30" s="30">
        <v>0</v>
      </c>
      <c r="AO30" s="30">
        <v>0</v>
      </c>
      <c r="AP30" s="30">
        <v>0</v>
      </c>
      <c r="AQ30" s="30">
        <v>1</v>
      </c>
      <c r="AR30" s="30">
        <v>1</v>
      </c>
      <c r="AS30" s="30">
        <v>2</v>
      </c>
      <c r="AT30" s="30">
        <v>1</v>
      </c>
      <c r="AU30" s="30">
        <v>0</v>
      </c>
    </row>
    <row r="31" spans="1:50" ht="187" x14ac:dyDescent="0.2">
      <c r="A31" s="2" t="s">
        <v>273</v>
      </c>
      <c r="B31" s="2" t="s">
        <v>860</v>
      </c>
      <c r="C31" s="2" t="s">
        <v>459</v>
      </c>
      <c r="D31" s="2" t="s">
        <v>711</v>
      </c>
      <c r="E31" s="2" t="s">
        <v>772</v>
      </c>
      <c r="F31" s="2" t="s">
        <v>459</v>
      </c>
      <c r="G31" s="2" t="s">
        <v>758</v>
      </c>
      <c r="H31" s="2" t="s">
        <v>758</v>
      </c>
      <c r="I31" s="2" t="s">
        <v>758</v>
      </c>
      <c r="J31" s="2" t="s">
        <v>758</v>
      </c>
      <c r="K31" s="2" t="s">
        <v>758</v>
      </c>
      <c r="L31" s="2" t="s">
        <v>758</v>
      </c>
      <c r="M31" s="2" t="s">
        <v>861</v>
      </c>
      <c r="N31" s="18" t="s">
        <v>591</v>
      </c>
      <c r="R31" s="2" t="s">
        <v>274</v>
      </c>
      <c r="S31" s="2" t="s">
        <v>275</v>
      </c>
      <c r="T31">
        <v>2011</v>
      </c>
      <c r="U31">
        <v>163</v>
      </c>
      <c r="Y31">
        <v>650</v>
      </c>
      <c r="Z31">
        <v>652</v>
      </c>
      <c r="AB31" t="s">
        <v>276</v>
      </c>
      <c r="AC31" t="s">
        <v>277</v>
      </c>
      <c r="AD31" t="s">
        <v>278</v>
      </c>
      <c r="AE31">
        <v>2011</v>
      </c>
      <c r="AF31">
        <v>5</v>
      </c>
      <c r="AG31">
        <v>0</v>
      </c>
      <c r="AH31">
        <v>45</v>
      </c>
      <c r="AI31">
        <v>0</v>
      </c>
      <c r="AJ31">
        <v>0</v>
      </c>
      <c r="AK31">
        <v>0</v>
      </c>
      <c r="AL31">
        <v>1</v>
      </c>
      <c r="AM31">
        <v>2</v>
      </c>
      <c r="AN31">
        <v>1</v>
      </c>
      <c r="AO31">
        <v>0</v>
      </c>
      <c r="AP31">
        <v>1</v>
      </c>
      <c r="AQ31">
        <v>0</v>
      </c>
      <c r="AR31">
        <v>0</v>
      </c>
      <c r="AS31">
        <v>0</v>
      </c>
      <c r="AT31">
        <v>0</v>
      </c>
      <c r="AU31">
        <v>0</v>
      </c>
      <c r="AV31">
        <v>0</v>
      </c>
    </row>
    <row r="32" spans="1:50" s="12" customFormat="1" ht="388" x14ac:dyDescent="0.2">
      <c r="A32" s="10" t="s">
        <v>282</v>
      </c>
      <c r="B32" s="10" t="s">
        <v>863</v>
      </c>
      <c r="C32" s="10" t="s">
        <v>458</v>
      </c>
      <c r="D32" s="10"/>
      <c r="E32" s="10" t="s">
        <v>862</v>
      </c>
      <c r="F32" s="10" t="s">
        <v>459</v>
      </c>
      <c r="G32" s="10" t="s">
        <v>865</v>
      </c>
      <c r="H32" s="10" t="s">
        <v>864</v>
      </c>
      <c r="I32" s="10" t="s">
        <v>459</v>
      </c>
      <c r="J32" s="10" t="s">
        <v>458</v>
      </c>
      <c r="K32" s="10" t="s">
        <v>758</v>
      </c>
      <c r="L32" s="10" t="s">
        <v>867</v>
      </c>
      <c r="M32" s="10" t="s">
        <v>866</v>
      </c>
      <c r="N32" s="11" t="s">
        <v>572</v>
      </c>
      <c r="O32" s="10" t="s">
        <v>458</v>
      </c>
      <c r="P32" s="10" t="s">
        <v>458</v>
      </c>
      <c r="Q32" s="10" t="s">
        <v>459</v>
      </c>
      <c r="R32" s="10" t="s">
        <v>283</v>
      </c>
      <c r="S32" s="10" t="s">
        <v>573</v>
      </c>
      <c r="T32" s="12">
        <v>2018</v>
      </c>
      <c r="U32" s="12">
        <v>75</v>
      </c>
      <c r="V32" s="12">
        <v>3</v>
      </c>
      <c r="Y32" s="12">
        <v>779</v>
      </c>
      <c r="Z32" s="12">
        <v>786</v>
      </c>
      <c r="AB32" s="12" t="s">
        <v>284</v>
      </c>
      <c r="AE32" s="12">
        <v>4</v>
      </c>
      <c r="AF32" s="12">
        <v>1</v>
      </c>
      <c r="AG32" s="12">
        <v>0</v>
      </c>
      <c r="AH32" s="12">
        <v>0</v>
      </c>
      <c r="AI32" s="12">
        <v>0</v>
      </c>
      <c r="AJ32" s="12">
        <v>0</v>
      </c>
      <c r="AK32" s="12">
        <v>0</v>
      </c>
      <c r="AL32" s="12">
        <v>0</v>
      </c>
      <c r="AM32" s="12">
        <v>0</v>
      </c>
      <c r="AN32" s="12">
        <v>0</v>
      </c>
      <c r="AO32" s="12">
        <v>0</v>
      </c>
      <c r="AP32" s="12">
        <v>0</v>
      </c>
      <c r="AQ32" s="12">
        <v>0</v>
      </c>
      <c r="AR32" s="12">
        <v>4</v>
      </c>
      <c r="AS32" s="12">
        <v>0</v>
      </c>
      <c r="AT32" s="12">
        <v>0</v>
      </c>
    </row>
    <row r="33" spans="1:156" s="30" customFormat="1" ht="404" x14ac:dyDescent="0.2">
      <c r="A33" s="28" t="s">
        <v>289</v>
      </c>
      <c r="B33" s="28" t="s">
        <v>840</v>
      </c>
      <c r="C33" s="28" t="s">
        <v>459</v>
      </c>
      <c r="D33" s="28" t="s">
        <v>700</v>
      </c>
      <c r="E33" s="28" t="s">
        <v>852</v>
      </c>
      <c r="F33" s="28" t="s">
        <v>852</v>
      </c>
      <c r="G33" s="28" t="s">
        <v>868</v>
      </c>
      <c r="H33" s="28" t="s">
        <v>869</v>
      </c>
      <c r="I33" s="28" t="s">
        <v>459</v>
      </c>
      <c r="J33" s="28" t="s">
        <v>458</v>
      </c>
      <c r="K33" s="28" t="s">
        <v>758</v>
      </c>
      <c r="L33" s="28" t="s">
        <v>870</v>
      </c>
      <c r="M33" s="28"/>
      <c r="N33" s="29" t="s">
        <v>575</v>
      </c>
      <c r="O33" s="28" t="s">
        <v>458</v>
      </c>
      <c r="P33" s="28" t="s">
        <v>458</v>
      </c>
      <c r="Q33" s="28" t="s">
        <v>459</v>
      </c>
      <c r="R33" s="28" t="s">
        <v>290</v>
      </c>
      <c r="S33" s="28" t="s">
        <v>291</v>
      </c>
      <c r="T33" s="30">
        <v>2013</v>
      </c>
      <c r="U33" s="30">
        <v>16</v>
      </c>
      <c r="V33" s="30">
        <v>3</v>
      </c>
      <c r="Y33" s="30">
        <v>145</v>
      </c>
      <c r="Z33" s="30">
        <v>8</v>
      </c>
      <c r="AE33" s="30">
        <v>4</v>
      </c>
      <c r="AF33" s="30">
        <v>0</v>
      </c>
      <c r="AG33" s="30">
        <v>44</v>
      </c>
      <c r="AH33" s="30">
        <v>0</v>
      </c>
      <c r="AI33" s="30">
        <v>0</v>
      </c>
      <c r="AJ33" s="30">
        <v>0</v>
      </c>
      <c r="AK33" s="30">
        <v>0</v>
      </c>
      <c r="AL33" s="30">
        <v>0</v>
      </c>
      <c r="AM33" s="30">
        <v>1</v>
      </c>
      <c r="AN33" s="30">
        <v>0</v>
      </c>
      <c r="AO33" s="30">
        <v>1</v>
      </c>
      <c r="AP33" s="30">
        <v>1</v>
      </c>
      <c r="AQ33" s="30">
        <v>0</v>
      </c>
      <c r="AR33" s="30">
        <v>0</v>
      </c>
      <c r="AS33" s="30">
        <v>0</v>
      </c>
      <c r="AT33" s="30">
        <v>1</v>
      </c>
      <c r="AU33" s="30">
        <v>0</v>
      </c>
    </row>
    <row r="34" spans="1:156" ht="288" customHeight="1" x14ac:dyDescent="0.2">
      <c r="A34" s="2" t="s">
        <v>578</v>
      </c>
      <c r="B34" s="2" t="s">
        <v>873</v>
      </c>
      <c r="C34" s="2" t="s">
        <v>458</v>
      </c>
      <c r="D34" s="2" t="s">
        <v>700</v>
      </c>
      <c r="E34" s="2" t="s">
        <v>782</v>
      </c>
      <c r="F34" s="2" t="s">
        <v>458</v>
      </c>
      <c r="G34" s="2" t="s">
        <v>871</v>
      </c>
      <c r="H34" s="2" t="s">
        <v>872</v>
      </c>
      <c r="I34" s="2" t="s">
        <v>459</v>
      </c>
      <c r="J34" s="2" t="s">
        <v>458</v>
      </c>
      <c r="K34" s="2" t="s">
        <v>758</v>
      </c>
      <c r="L34" s="2" t="s">
        <v>874</v>
      </c>
      <c r="N34" s="7" t="s">
        <v>579</v>
      </c>
      <c r="O34" s="2" t="s">
        <v>458</v>
      </c>
      <c r="P34" s="2" t="s">
        <v>458</v>
      </c>
      <c r="Q34" s="2" t="s">
        <v>459</v>
      </c>
      <c r="R34" s="2" t="s">
        <v>299</v>
      </c>
      <c r="S34" s="2" t="s">
        <v>300</v>
      </c>
      <c r="T34" t="s">
        <v>301</v>
      </c>
      <c r="U34">
        <v>2015</v>
      </c>
      <c r="V34">
        <v>34</v>
      </c>
      <c r="W34">
        <v>6</v>
      </c>
      <c r="Z34">
        <v>339</v>
      </c>
      <c r="AA34">
        <v>344</v>
      </c>
      <c r="AC34" t="s">
        <v>302</v>
      </c>
      <c r="AF34">
        <v>3</v>
      </c>
      <c r="AG34">
        <v>0</v>
      </c>
      <c r="AH34">
        <v>43</v>
      </c>
      <c r="AI34">
        <v>0</v>
      </c>
      <c r="AJ34">
        <v>0</v>
      </c>
      <c r="AK34">
        <v>0</v>
      </c>
      <c r="AL34">
        <v>0</v>
      </c>
      <c r="AM34">
        <v>0</v>
      </c>
      <c r="AN34">
        <v>0</v>
      </c>
      <c r="AO34">
        <v>0</v>
      </c>
      <c r="AP34">
        <v>0</v>
      </c>
      <c r="AQ34">
        <v>0</v>
      </c>
      <c r="AR34">
        <v>1</v>
      </c>
      <c r="AS34">
        <v>0</v>
      </c>
      <c r="AT34">
        <v>0</v>
      </c>
      <c r="AU34">
        <v>2</v>
      </c>
      <c r="AV34">
        <v>0</v>
      </c>
    </row>
    <row r="35" spans="1:156" ht="238" x14ac:dyDescent="0.2">
      <c r="A35" s="2" t="s">
        <v>311</v>
      </c>
      <c r="B35" s="2" t="s">
        <v>840</v>
      </c>
      <c r="C35" s="2" t="s">
        <v>459</v>
      </c>
      <c r="D35" s="2" t="s">
        <v>700</v>
      </c>
      <c r="E35" s="2" t="s">
        <v>878</v>
      </c>
      <c r="F35" s="2" t="s">
        <v>852</v>
      </c>
      <c r="G35" s="2" t="s">
        <v>876</v>
      </c>
      <c r="H35" s="2" t="s">
        <v>875</v>
      </c>
      <c r="I35" s="2" t="s">
        <v>459</v>
      </c>
      <c r="J35" s="2" t="s">
        <v>458</v>
      </c>
      <c r="K35" s="2" t="s">
        <v>758</v>
      </c>
      <c r="L35" s="2" t="s">
        <v>877</v>
      </c>
      <c r="N35" s="7" t="s">
        <v>582</v>
      </c>
      <c r="O35" s="2" t="s">
        <v>458</v>
      </c>
      <c r="P35" s="2" t="s">
        <v>458</v>
      </c>
      <c r="Q35" s="2" t="s">
        <v>459</v>
      </c>
      <c r="R35" s="2" t="s">
        <v>312</v>
      </c>
      <c r="S35" s="2" t="s">
        <v>313</v>
      </c>
      <c r="T35">
        <v>2016</v>
      </c>
      <c r="U35">
        <v>54</v>
      </c>
      <c r="V35">
        <v>9</v>
      </c>
      <c r="Y35">
        <v>600</v>
      </c>
      <c r="Z35">
        <v>604</v>
      </c>
      <c r="AE35">
        <v>2</v>
      </c>
      <c r="AF35">
        <v>0</v>
      </c>
      <c r="AG35">
        <v>33</v>
      </c>
      <c r="AH35">
        <v>0</v>
      </c>
      <c r="AI35">
        <v>0</v>
      </c>
      <c r="AJ35">
        <v>0</v>
      </c>
      <c r="AK35">
        <v>0</v>
      </c>
      <c r="AL35">
        <v>0</v>
      </c>
      <c r="AM35">
        <v>0</v>
      </c>
      <c r="AN35">
        <v>0</v>
      </c>
      <c r="AO35">
        <v>0</v>
      </c>
      <c r="AP35">
        <v>0</v>
      </c>
      <c r="AQ35">
        <v>0</v>
      </c>
      <c r="AR35">
        <v>0</v>
      </c>
      <c r="AS35">
        <v>2</v>
      </c>
      <c r="AT35">
        <v>0</v>
      </c>
      <c r="AU35">
        <v>0</v>
      </c>
    </row>
    <row r="36" spans="1:156" s="12" customFormat="1" ht="255" x14ac:dyDescent="0.2">
      <c r="A36" s="10" t="s">
        <v>332</v>
      </c>
      <c r="B36" s="10" t="s">
        <v>766</v>
      </c>
      <c r="C36" s="10" t="s">
        <v>459</v>
      </c>
      <c r="D36" s="10" t="s">
        <v>700</v>
      </c>
      <c r="E36" s="10" t="s">
        <v>852</v>
      </c>
      <c r="F36" s="10" t="s">
        <v>852</v>
      </c>
      <c r="G36" s="10" t="s">
        <v>881</v>
      </c>
      <c r="H36" s="10" t="s">
        <v>879</v>
      </c>
      <c r="I36" s="10" t="s">
        <v>882</v>
      </c>
      <c r="J36" s="10" t="s">
        <v>458</v>
      </c>
      <c r="K36" s="10" t="s">
        <v>758</v>
      </c>
      <c r="L36" s="10" t="s">
        <v>880</v>
      </c>
      <c r="M36" s="10"/>
      <c r="N36" s="11" t="s">
        <v>587</v>
      </c>
      <c r="O36" s="10" t="s">
        <v>458</v>
      </c>
      <c r="P36" s="10" t="s">
        <v>458</v>
      </c>
      <c r="Q36" s="10" t="s">
        <v>459</v>
      </c>
      <c r="R36" s="10" t="s">
        <v>333</v>
      </c>
      <c r="S36" s="10" t="s">
        <v>81</v>
      </c>
      <c r="T36" s="12">
        <v>2020</v>
      </c>
      <c r="U36" s="12">
        <v>88</v>
      </c>
      <c r="V36" s="12">
        <v>2</v>
      </c>
      <c r="Y36" s="12">
        <v>242</v>
      </c>
      <c r="Z36" s="12">
        <v>246</v>
      </c>
      <c r="AB36" s="12" t="s">
        <v>334</v>
      </c>
      <c r="AC36" s="12" t="s">
        <v>335</v>
      </c>
      <c r="AD36" s="12" t="s">
        <v>336</v>
      </c>
      <c r="AE36" s="12">
        <v>2019</v>
      </c>
      <c r="AF36" s="12">
        <v>1</v>
      </c>
      <c r="AG36" s="12">
        <v>0</v>
      </c>
      <c r="AH36" s="12">
        <v>5</v>
      </c>
      <c r="AI36" s="12">
        <v>0</v>
      </c>
      <c r="AJ36" s="12">
        <v>0</v>
      </c>
      <c r="AK36" s="12">
        <v>0</v>
      </c>
      <c r="AL36" s="12">
        <v>0</v>
      </c>
      <c r="AM36" s="12">
        <v>0</v>
      </c>
      <c r="AN36" s="12">
        <v>0</v>
      </c>
      <c r="AO36" s="12">
        <v>0</v>
      </c>
      <c r="AP36" s="12">
        <v>0</v>
      </c>
      <c r="AQ36" s="12">
        <v>0</v>
      </c>
      <c r="AR36" s="12">
        <v>0</v>
      </c>
      <c r="AS36" s="12">
        <v>0</v>
      </c>
      <c r="AT36" s="12">
        <v>0</v>
      </c>
      <c r="AU36" s="12">
        <v>1</v>
      </c>
      <c r="AV36" s="12">
        <v>0</v>
      </c>
    </row>
    <row r="37" spans="1:156" ht="238" x14ac:dyDescent="0.2">
      <c r="A37" s="2" t="s">
        <v>357</v>
      </c>
      <c r="B37" s="2" t="s">
        <v>754</v>
      </c>
      <c r="C37" s="2" t="s">
        <v>459</v>
      </c>
      <c r="D37" s="2" t="s">
        <v>700</v>
      </c>
      <c r="E37" s="2" t="s">
        <v>883</v>
      </c>
      <c r="F37" s="2" t="s">
        <v>459</v>
      </c>
      <c r="G37" s="2" t="s">
        <v>884</v>
      </c>
      <c r="H37" s="2" t="s">
        <v>886</v>
      </c>
      <c r="I37" s="2" t="s">
        <v>885</v>
      </c>
      <c r="J37" s="2" t="s">
        <v>885</v>
      </c>
      <c r="K37" s="2" t="s">
        <v>758</v>
      </c>
      <c r="L37" s="2" t="s">
        <v>887</v>
      </c>
      <c r="N37" s="7" t="s">
        <v>593</v>
      </c>
      <c r="O37" s="2" t="s">
        <v>458</v>
      </c>
      <c r="P37" s="2" t="s">
        <v>458</v>
      </c>
      <c r="Q37" s="2" t="s">
        <v>458</v>
      </c>
      <c r="R37" s="2" t="s">
        <v>358</v>
      </c>
      <c r="S37" s="2" t="s">
        <v>45</v>
      </c>
      <c r="T37">
        <v>2016</v>
      </c>
      <c r="U37">
        <v>73</v>
      </c>
      <c r="V37">
        <v>4</v>
      </c>
      <c r="Y37">
        <v>648</v>
      </c>
      <c r="Z37">
        <v>654</v>
      </c>
      <c r="AE37">
        <v>1</v>
      </c>
      <c r="AF37">
        <v>0</v>
      </c>
      <c r="AG37">
        <v>17</v>
      </c>
      <c r="AH37">
        <v>0</v>
      </c>
      <c r="AI37">
        <v>0</v>
      </c>
      <c r="AJ37">
        <v>0</v>
      </c>
      <c r="AK37">
        <v>0</v>
      </c>
      <c r="AL37">
        <v>0</v>
      </c>
      <c r="AM37">
        <v>0</v>
      </c>
      <c r="AN37">
        <v>0</v>
      </c>
      <c r="AO37">
        <v>0</v>
      </c>
      <c r="AP37">
        <v>0</v>
      </c>
      <c r="AQ37">
        <v>0</v>
      </c>
      <c r="AR37">
        <v>1</v>
      </c>
      <c r="AS37">
        <v>0</v>
      </c>
      <c r="AT37">
        <v>0</v>
      </c>
      <c r="AU37">
        <v>0</v>
      </c>
    </row>
    <row r="38" spans="1:156" ht="153" x14ac:dyDescent="0.2">
      <c r="A38" s="2" t="s">
        <v>367</v>
      </c>
      <c r="B38" s="2" t="s">
        <v>754</v>
      </c>
      <c r="C38" s="2" t="s">
        <v>459</v>
      </c>
      <c r="D38" s="2" t="s">
        <v>700</v>
      </c>
      <c r="E38" s="2" t="s">
        <v>888</v>
      </c>
      <c r="F38" s="2" t="s">
        <v>459</v>
      </c>
      <c r="G38" s="2" t="s">
        <v>889</v>
      </c>
      <c r="H38" s="2" t="s">
        <v>890</v>
      </c>
      <c r="I38" s="2" t="s">
        <v>459</v>
      </c>
      <c r="J38" s="2" t="s">
        <v>458</v>
      </c>
      <c r="K38" s="2" t="s">
        <v>758</v>
      </c>
      <c r="L38" s="2" t="s">
        <v>891</v>
      </c>
      <c r="N38" s="7" t="s">
        <v>595</v>
      </c>
      <c r="O38" s="2" t="s">
        <v>458</v>
      </c>
      <c r="P38" s="2" t="s">
        <v>458</v>
      </c>
      <c r="Q38" s="2" t="s">
        <v>459</v>
      </c>
      <c r="R38" s="2" t="s">
        <v>368</v>
      </c>
      <c r="S38" s="2" t="s">
        <v>109</v>
      </c>
      <c r="T38">
        <v>2020</v>
      </c>
      <c r="U38">
        <v>231</v>
      </c>
      <c r="V38">
        <v>4</v>
      </c>
      <c r="W38">
        <v>1</v>
      </c>
      <c r="Y38" t="s">
        <v>369</v>
      </c>
      <c r="Z38" t="s">
        <v>369</v>
      </c>
      <c r="AC38" t="s">
        <v>370</v>
      </c>
      <c r="AD38" t="s">
        <v>371</v>
      </c>
      <c r="AE38">
        <v>2020</v>
      </c>
      <c r="AF38">
        <v>0</v>
      </c>
      <c r="AG38">
        <v>0</v>
      </c>
      <c r="AH38">
        <v>0</v>
      </c>
      <c r="AI38">
        <v>0</v>
      </c>
      <c r="AJ38">
        <v>0</v>
      </c>
      <c r="AK38">
        <v>0</v>
      </c>
      <c r="AL38">
        <v>0</v>
      </c>
      <c r="AM38">
        <v>0</v>
      </c>
      <c r="AN38">
        <v>0</v>
      </c>
      <c r="AO38">
        <v>0</v>
      </c>
      <c r="AP38">
        <v>0</v>
      </c>
      <c r="AQ38">
        <v>0</v>
      </c>
      <c r="AR38">
        <v>0</v>
      </c>
      <c r="AS38">
        <v>0</v>
      </c>
      <c r="AT38">
        <v>0</v>
      </c>
      <c r="AU38">
        <v>0</v>
      </c>
    </row>
    <row r="39" spans="1:156" s="30" customFormat="1" ht="372" x14ac:dyDescent="0.2">
      <c r="A39" s="28" t="s">
        <v>596</v>
      </c>
      <c r="B39" s="28" t="s">
        <v>892</v>
      </c>
      <c r="C39" s="28" t="s">
        <v>459</v>
      </c>
      <c r="D39" s="28" t="s">
        <v>700</v>
      </c>
      <c r="E39" s="28" t="s">
        <v>820</v>
      </c>
      <c r="F39" s="28" t="s">
        <v>458</v>
      </c>
      <c r="G39" s="28" t="s">
        <v>893</v>
      </c>
      <c r="H39" s="28" t="s">
        <v>894</v>
      </c>
      <c r="I39" s="28" t="s">
        <v>459</v>
      </c>
      <c r="J39" s="28" t="s">
        <v>459</v>
      </c>
      <c r="K39" s="28" t="s">
        <v>758</v>
      </c>
      <c r="L39" s="28" t="s">
        <v>852</v>
      </c>
      <c r="M39" s="28" t="s">
        <v>895</v>
      </c>
      <c r="N39" s="29" t="s">
        <v>597</v>
      </c>
      <c r="O39" s="28" t="s">
        <v>458</v>
      </c>
      <c r="P39" s="28" t="s">
        <v>458</v>
      </c>
      <c r="Q39" s="28" t="s">
        <v>458</v>
      </c>
      <c r="R39" s="28" t="s">
        <v>372</v>
      </c>
      <c r="S39" s="28" t="s">
        <v>373</v>
      </c>
      <c r="T39" s="30" t="s">
        <v>374</v>
      </c>
      <c r="U39" s="30" t="s">
        <v>375</v>
      </c>
      <c r="V39" s="30">
        <v>2020</v>
      </c>
      <c r="W39" s="30">
        <v>54</v>
      </c>
      <c r="X39" s="30">
        <v>7</v>
      </c>
      <c r="AA39" s="30">
        <v>652</v>
      </c>
      <c r="AB39" s="30">
        <v>659</v>
      </c>
      <c r="AD39" s="30" t="s">
        <v>376</v>
      </c>
      <c r="AG39" s="30">
        <v>0</v>
      </c>
      <c r="AH39" s="30">
        <v>0</v>
      </c>
      <c r="AI39" s="30">
        <v>0</v>
      </c>
      <c r="AJ39" s="30">
        <v>0</v>
      </c>
      <c r="AK39" s="30">
        <v>0</v>
      </c>
      <c r="AL39" s="30">
        <v>0</v>
      </c>
      <c r="AM39" s="30">
        <v>0</v>
      </c>
      <c r="AN39" s="30">
        <v>0</v>
      </c>
      <c r="AO39" s="30">
        <v>0</v>
      </c>
      <c r="AP39" s="30">
        <v>0</v>
      </c>
      <c r="AQ39" s="30">
        <v>0</v>
      </c>
      <c r="AR39" s="30">
        <v>0</v>
      </c>
      <c r="AS39" s="30">
        <v>0</v>
      </c>
      <c r="AT39" s="30">
        <v>0</v>
      </c>
      <c r="AU39" s="30">
        <v>0</v>
      </c>
      <c r="AV39" s="30">
        <v>0</v>
      </c>
    </row>
    <row r="40" spans="1:156" ht="272" x14ac:dyDescent="0.2">
      <c r="A40" s="2" t="s">
        <v>396</v>
      </c>
      <c r="B40" s="2" t="s">
        <v>699</v>
      </c>
      <c r="C40" s="2" t="s">
        <v>458</v>
      </c>
      <c r="D40" s="2" t="s">
        <v>700</v>
      </c>
      <c r="E40" s="2" t="s">
        <v>897</v>
      </c>
      <c r="F40" s="2" t="s">
        <v>458</v>
      </c>
      <c r="G40" s="2" t="s">
        <v>896</v>
      </c>
      <c r="H40" s="2" t="s">
        <v>898</v>
      </c>
      <c r="I40" s="2" t="s">
        <v>459</v>
      </c>
      <c r="J40" s="2" t="s">
        <v>458</v>
      </c>
      <c r="K40" s="2" t="s">
        <v>758</v>
      </c>
      <c r="L40" s="2" t="s">
        <v>899</v>
      </c>
      <c r="M40" s="2" t="s">
        <v>900</v>
      </c>
      <c r="N40" s="7" t="s">
        <v>605</v>
      </c>
      <c r="O40" s="2" t="s">
        <v>606</v>
      </c>
      <c r="P40" s="2" t="s">
        <v>458</v>
      </c>
      <c r="Q40" s="2" t="s">
        <v>459</v>
      </c>
      <c r="R40" s="2" t="s">
        <v>397</v>
      </c>
      <c r="S40" s="2" t="s">
        <v>398</v>
      </c>
      <c r="T40">
        <v>2019</v>
      </c>
      <c r="U40">
        <v>5</v>
      </c>
      <c r="V40">
        <v>3</v>
      </c>
      <c r="Y40">
        <v>140</v>
      </c>
      <c r="Z40">
        <v>143</v>
      </c>
      <c r="AB40" t="s">
        <v>399</v>
      </c>
      <c r="AE40">
        <v>0</v>
      </c>
      <c r="AF40">
        <v>0</v>
      </c>
      <c r="AG40">
        <v>0</v>
      </c>
      <c r="AH40">
        <v>0</v>
      </c>
      <c r="AI40">
        <v>0</v>
      </c>
      <c r="AJ40">
        <v>0</v>
      </c>
      <c r="AK40">
        <v>0</v>
      </c>
      <c r="AL40">
        <v>0</v>
      </c>
      <c r="AM40">
        <v>0</v>
      </c>
      <c r="AN40">
        <v>0</v>
      </c>
      <c r="AO40">
        <v>0</v>
      </c>
      <c r="AP40">
        <v>0</v>
      </c>
      <c r="AQ40">
        <v>0</v>
      </c>
      <c r="AR40">
        <v>0</v>
      </c>
      <c r="AS40">
        <v>0</v>
      </c>
      <c r="AT40">
        <v>0</v>
      </c>
    </row>
    <row r="41" spans="1:156" ht="340" x14ac:dyDescent="0.2">
      <c r="A41" s="2" t="s">
        <v>410</v>
      </c>
      <c r="B41" s="2" t="s">
        <v>903</v>
      </c>
      <c r="C41" s="2" t="s">
        <v>459</v>
      </c>
      <c r="D41" s="2" t="s">
        <v>700</v>
      </c>
      <c r="E41" s="2" t="s">
        <v>905</v>
      </c>
      <c r="F41" s="2" t="s">
        <v>458</v>
      </c>
      <c r="G41" s="2" t="s">
        <v>904</v>
      </c>
      <c r="H41" s="2" t="s">
        <v>902</v>
      </c>
      <c r="I41" s="2" t="s">
        <v>882</v>
      </c>
      <c r="J41" s="2" t="s">
        <v>458</v>
      </c>
      <c r="K41" s="2" t="s">
        <v>758</v>
      </c>
      <c r="L41" s="2" t="s">
        <v>458</v>
      </c>
      <c r="M41" s="2" t="s">
        <v>901</v>
      </c>
      <c r="N41" s="7" t="s">
        <v>609</v>
      </c>
      <c r="O41" s="2" t="s">
        <v>458</v>
      </c>
      <c r="P41" s="2" t="s">
        <v>458</v>
      </c>
      <c r="Q41" s="2" t="s">
        <v>458</v>
      </c>
      <c r="R41" s="2" t="s">
        <v>411</v>
      </c>
      <c r="S41" s="2" t="s">
        <v>412</v>
      </c>
      <c r="T41">
        <v>2017</v>
      </c>
      <c r="U41">
        <v>23</v>
      </c>
      <c r="V41">
        <v>6</v>
      </c>
      <c r="Y41">
        <v>1381</v>
      </c>
      <c r="Z41">
        <v>1386</v>
      </c>
      <c r="AB41" t="s">
        <v>413</v>
      </c>
      <c r="AE41">
        <v>0</v>
      </c>
      <c r="AF41">
        <v>0</v>
      </c>
      <c r="AG41">
        <v>0</v>
      </c>
      <c r="AH41">
        <v>0</v>
      </c>
      <c r="AI41">
        <v>0</v>
      </c>
      <c r="AJ41">
        <v>0</v>
      </c>
      <c r="AK41">
        <v>0</v>
      </c>
      <c r="AL41">
        <v>0</v>
      </c>
      <c r="AM41">
        <v>0</v>
      </c>
      <c r="AN41">
        <v>0</v>
      </c>
      <c r="AO41">
        <v>0</v>
      </c>
      <c r="AP41">
        <v>0</v>
      </c>
      <c r="AQ41">
        <v>0</v>
      </c>
      <c r="AR41">
        <v>0</v>
      </c>
      <c r="AS41">
        <v>0</v>
      </c>
      <c r="AT41">
        <v>0</v>
      </c>
    </row>
    <row r="42" spans="1:156" ht="136" x14ac:dyDescent="0.2">
      <c r="A42" s="2" t="s">
        <v>663</v>
      </c>
      <c r="B42" s="2" t="s">
        <v>908</v>
      </c>
      <c r="C42" s="2" t="s">
        <v>458</v>
      </c>
      <c r="D42" s="2" t="s">
        <v>694</v>
      </c>
      <c r="E42" s="2" t="s">
        <v>909</v>
      </c>
      <c r="F42" s="2" t="s">
        <v>459</v>
      </c>
      <c r="G42" s="2" t="s">
        <v>910</v>
      </c>
      <c r="H42" s="2" t="s">
        <v>911</v>
      </c>
      <c r="I42" s="2" t="s">
        <v>459</v>
      </c>
      <c r="J42" s="2" t="s">
        <v>459</v>
      </c>
      <c r="K42" s="2" t="s">
        <v>758</v>
      </c>
      <c r="L42" s="2" t="s">
        <v>852</v>
      </c>
      <c r="M42" s="2" t="s">
        <v>912</v>
      </c>
      <c r="R42" t="s">
        <v>664</v>
      </c>
      <c r="S42" t="s">
        <v>26</v>
      </c>
      <c r="T42" t="s">
        <v>665</v>
      </c>
      <c r="U42">
        <v>2018</v>
      </c>
      <c r="V42">
        <v>13</v>
      </c>
      <c r="W42">
        <v>5</v>
      </c>
      <c r="X42" t="s">
        <v>620</v>
      </c>
      <c r="Y42" t="s">
        <v>620</v>
      </c>
      <c r="Z42" t="s">
        <v>620</v>
      </c>
      <c r="AA42">
        <v>331</v>
      </c>
      <c r="AB42">
        <v>340</v>
      </c>
      <c r="AC42" t="s">
        <v>620</v>
      </c>
      <c r="AD42" t="s">
        <v>666</v>
      </c>
      <c r="AE42" t="s">
        <v>620</v>
      </c>
      <c r="AF42" t="s">
        <v>620</v>
      </c>
      <c r="AG42">
        <v>3</v>
      </c>
      <c r="AH42">
        <v>0.75</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1</v>
      </c>
      <c r="EY42">
        <v>2</v>
      </c>
      <c r="EZ42">
        <v>0</v>
      </c>
    </row>
    <row r="43" spans="1:156" ht="51" x14ac:dyDescent="0.2">
      <c r="A43" s="2" t="s">
        <v>671</v>
      </c>
      <c r="B43" s="2" t="s">
        <v>913</v>
      </c>
      <c r="C43" s="2" t="s">
        <v>459</v>
      </c>
      <c r="D43" s="2" t="s">
        <v>694</v>
      </c>
      <c r="E43" s="2" t="s">
        <v>916</v>
      </c>
      <c r="F43" s="2" t="s">
        <v>458</v>
      </c>
      <c r="G43" s="2" t="s">
        <v>914</v>
      </c>
      <c r="H43" s="2" t="s">
        <v>915</v>
      </c>
      <c r="I43" s="2" t="s">
        <v>459</v>
      </c>
      <c r="J43" s="2" t="s">
        <v>459</v>
      </c>
      <c r="K43" s="2" t="s">
        <v>758</v>
      </c>
      <c r="L43" s="2" t="s">
        <v>852</v>
      </c>
      <c r="M43" s="2" t="s">
        <v>917</v>
      </c>
      <c r="R43" t="s">
        <v>672</v>
      </c>
      <c r="S43" t="s">
        <v>673</v>
      </c>
      <c r="T43" t="s">
        <v>674</v>
      </c>
      <c r="U43">
        <v>2018</v>
      </c>
      <c r="V43">
        <v>10</v>
      </c>
      <c r="W43">
        <v>3</v>
      </c>
      <c r="X43" t="s">
        <v>620</v>
      </c>
      <c r="Y43" t="s">
        <v>620</v>
      </c>
      <c r="Z43" t="s">
        <v>620</v>
      </c>
      <c r="AA43">
        <v>183</v>
      </c>
      <c r="AB43">
        <v>188</v>
      </c>
      <c r="AC43" t="s">
        <v>620</v>
      </c>
      <c r="AD43" t="s">
        <v>675</v>
      </c>
      <c r="AE43" t="s">
        <v>620</v>
      </c>
      <c r="AF43" t="s">
        <v>620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row>
  </sheetData>
  <autoFilter ref="A1:AX43" xr:uid="{F7858121-29E1-5543-A087-28965803E051}"/>
  <conditionalFormatting sqref="O14:Q14 O25:Q25 O41:Q41 N1:Q1 N5:Q7 N9:Q9 N18:Q18 N20:Q22 N30:Q30 L10:Q13 L41:M41 L25:M25 A44:A1048576 L44:Q1048576 L8:Q8 L19:Q19 L14:M14 L15:Q17 L23:Q24 B2:Q4 B10:K17 L26:Q29 B23:K29 L31:Q40 B31:K41 A1:A41">
    <cfRule type="containsText" dxfId="63" priority="40" operator="containsText" text="review">
      <formula>NOT(ISERROR(SEARCH("review",A1)))</formula>
    </cfRule>
  </conditionalFormatting>
  <conditionalFormatting sqref="L1:M1">
    <cfRule type="containsText" dxfId="62" priority="39" operator="containsText" text="review">
      <formula>NOT(ISERROR(SEARCH("review",L1)))</formula>
    </cfRule>
  </conditionalFormatting>
  <conditionalFormatting sqref="L5:M5">
    <cfRule type="containsText" dxfId="61" priority="35" operator="containsText" text="review">
      <formula>NOT(ISERROR(SEARCH("review",L5)))</formula>
    </cfRule>
  </conditionalFormatting>
  <conditionalFormatting sqref="L6:M6">
    <cfRule type="containsText" dxfId="60" priority="34" operator="containsText" text="review">
      <formula>NOT(ISERROR(SEARCH("review",L6)))</formula>
    </cfRule>
  </conditionalFormatting>
  <conditionalFormatting sqref="L7:M7">
    <cfRule type="containsText" dxfId="59" priority="33" operator="containsText" text="review">
      <formula>NOT(ISERROR(SEARCH("review",L7)))</formula>
    </cfRule>
  </conditionalFormatting>
  <conditionalFormatting sqref="L9:M9">
    <cfRule type="containsText" dxfId="58" priority="32" operator="containsText" text="review">
      <formula>NOT(ISERROR(SEARCH("review",L9)))</formula>
    </cfRule>
  </conditionalFormatting>
  <conditionalFormatting sqref="L18:M18">
    <cfRule type="containsText" dxfId="57" priority="31" operator="containsText" text="review">
      <formula>NOT(ISERROR(SEARCH("review",L18)))</formula>
    </cfRule>
  </conditionalFormatting>
  <conditionalFormatting sqref="L20:M20">
    <cfRule type="containsText" dxfId="56" priority="30" operator="containsText" text="review">
      <formula>NOT(ISERROR(SEARCH("review",L20)))</formula>
    </cfRule>
  </conditionalFormatting>
  <conditionalFormatting sqref="L21:M21">
    <cfRule type="containsText" dxfId="55" priority="29" operator="containsText" text="review">
      <formula>NOT(ISERROR(SEARCH("review",L21)))</formula>
    </cfRule>
  </conditionalFormatting>
  <conditionalFormatting sqref="L22:M22">
    <cfRule type="containsText" dxfId="54" priority="28" operator="containsText" text="review">
      <formula>NOT(ISERROR(SEARCH("review",L22)))</formula>
    </cfRule>
  </conditionalFormatting>
  <conditionalFormatting sqref="L30:M30">
    <cfRule type="containsText" dxfId="53" priority="27" operator="containsText" text="review">
      <formula>NOT(ISERROR(SEARCH("review",L30)))</formula>
    </cfRule>
  </conditionalFormatting>
  <conditionalFormatting sqref="B19:K19 B8:K8 B44:K1048576">
    <cfRule type="containsText" dxfId="52" priority="26" operator="containsText" text="review">
      <formula>NOT(ISERROR(SEARCH("review",B8)))</formula>
    </cfRule>
  </conditionalFormatting>
  <conditionalFormatting sqref="B42:H42 K42">
    <cfRule type="duplicateValues" dxfId="51" priority="23" stopIfTrue="1"/>
  </conditionalFormatting>
  <conditionalFormatting sqref="B43:D43 G43:H43 K43">
    <cfRule type="duplicateValues" dxfId="50" priority="22" stopIfTrue="1"/>
  </conditionalFormatting>
  <conditionalFormatting sqref="B1:C1 F1:K1">
    <cfRule type="containsText" dxfId="49" priority="21" operator="containsText" text="review">
      <formula>NOT(ISERROR(SEARCH("review",B1)))</formula>
    </cfRule>
  </conditionalFormatting>
  <conditionalFormatting sqref="B5:K5">
    <cfRule type="containsText" dxfId="48" priority="17" operator="containsText" text="review">
      <formula>NOT(ISERROR(SEARCH("review",B5)))</formula>
    </cfRule>
  </conditionalFormatting>
  <conditionalFormatting sqref="B6:K6">
    <cfRule type="containsText" dxfId="47" priority="16" operator="containsText" text="review">
      <formula>NOT(ISERROR(SEARCH("review",B6)))</formula>
    </cfRule>
  </conditionalFormatting>
  <conditionalFormatting sqref="B7:K7">
    <cfRule type="containsText" dxfId="46" priority="15" operator="containsText" text="review">
      <formula>NOT(ISERROR(SEARCH("review",B7)))</formula>
    </cfRule>
  </conditionalFormatting>
  <conditionalFormatting sqref="B9:K9">
    <cfRule type="containsText" dxfId="45" priority="14" operator="containsText" text="review">
      <formula>NOT(ISERROR(SEARCH("review",B9)))</formula>
    </cfRule>
  </conditionalFormatting>
  <conditionalFormatting sqref="B18:K18">
    <cfRule type="containsText" dxfId="44" priority="13" operator="containsText" text="review">
      <formula>NOT(ISERROR(SEARCH("review",B18)))</formula>
    </cfRule>
  </conditionalFormatting>
  <conditionalFormatting sqref="B20:K20">
    <cfRule type="containsText" dxfId="43" priority="12" operator="containsText" text="review">
      <formula>NOT(ISERROR(SEARCH("review",B20)))</formula>
    </cfRule>
  </conditionalFormatting>
  <conditionalFormatting sqref="B21:K21">
    <cfRule type="containsText" dxfId="42" priority="11" operator="containsText" text="review">
      <formula>NOT(ISERROR(SEARCH("review",B21)))</formula>
    </cfRule>
  </conditionalFormatting>
  <conditionalFormatting sqref="B22:K22">
    <cfRule type="containsText" dxfId="41" priority="10" operator="containsText" text="review">
      <formula>NOT(ISERROR(SEARCH("review",B22)))</formula>
    </cfRule>
  </conditionalFormatting>
  <conditionalFormatting sqref="B30:K30">
    <cfRule type="containsText" dxfId="40" priority="9" operator="containsText" text="review">
      <formula>NOT(ISERROR(SEARCH("review",B30)))</formula>
    </cfRule>
  </conditionalFormatting>
  <conditionalFormatting sqref="D1">
    <cfRule type="containsText" dxfId="39" priority="8" operator="containsText" text="review">
      <formula>NOT(ISERROR(SEARCH("review",D1)))</formula>
    </cfRule>
  </conditionalFormatting>
  <conditionalFormatting sqref="E1">
    <cfRule type="containsText" dxfId="38" priority="7" operator="containsText" text="review">
      <formula>NOT(ISERROR(SEARCH("review",E1)))</formula>
    </cfRule>
  </conditionalFormatting>
  <conditionalFormatting sqref="L42:M42 A42">
    <cfRule type="duplicateValues" dxfId="37" priority="43" stopIfTrue="1"/>
  </conditionalFormatting>
  <conditionalFormatting sqref="L43:M43 A43">
    <cfRule type="duplicateValues" dxfId="36" priority="44" stopIfTrue="1"/>
  </conditionalFormatting>
  <conditionalFormatting sqref="I42">
    <cfRule type="containsText" dxfId="35" priority="6" operator="containsText" text="review">
      <formula>NOT(ISERROR(SEARCH("review",I42)))</formula>
    </cfRule>
  </conditionalFormatting>
  <conditionalFormatting sqref="J42">
    <cfRule type="containsText" dxfId="34" priority="5" operator="containsText" text="review">
      <formula>NOT(ISERROR(SEARCH("review",J42)))</formula>
    </cfRule>
  </conditionalFormatting>
  <conditionalFormatting sqref="F43">
    <cfRule type="duplicateValues" dxfId="33" priority="4" stopIfTrue="1"/>
  </conditionalFormatting>
  <conditionalFormatting sqref="E43">
    <cfRule type="duplicateValues" dxfId="32" priority="3" stopIfTrue="1"/>
  </conditionalFormatting>
  <conditionalFormatting sqref="I43">
    <cfRule type="containsText" dxfId="31" priority="2" operator="containsText" text="review">
      <formula>NOT(ISERROR(SEARCH("review",I43)))</formula>
    </cfRule>
  </conditionalFormatting>
  <conditionalFormatting sqref="J43">
    <cfRule type="containsText" dxfId="30" priority="1" operator="containsText" text="review">
      <formula>NOT(ISERROR(SEARCH("review",J43)))</formula>
    </cfRule>
  </conditionalFormatting>
  <pageMargins left="0.75" right="0.75" top="1" bottom="1" header="0.5" footer="0.5"/>
  <pageSetup paperSize="9" scale="10" fitToWidth="0" fitToHeight="0" orientation="landscape"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B0107-79C3-9C4E-9B00-776DFFAE50A3}">
  <dimension ref="A1:FE37"/>
  <sheetViews>
    <sheetView tabSelected="1" topLeftCell="E1" zoomScale="130" zoomScaleNormal="130" workbookViewId="0">
      <pane ySplit="1" topLeftCell="A2" activePane="bottomLeft" state="frozen"/>
      <selection pane="bottomLeft" activeCell="L2" sqref="L2"/>
    </sheetView>
  </sheetViews>
  <sheetFormatPr baseColWidth="10" defaultRowHeight="16" x14ac:dyDescent="0.2"/>
  <cols>
    <col min="1" max="1" width="43.83203125" style="2" customWidth="1"/>
    <col min="2" max="2" width="19.5" style="2" customWidth="1"/>
    <col min="3" max="4" width="14.1640625" style="2" customWidth="1"/>
    <col min="5" max="5" width="19.6640625" style="2" customWidth="1"/>
    <col min="6" max="6" width="14.1640625" style="2" customWidth="1"/>
    <col min="7" max="7" width="21.6640625" style="2" customWidth="1"/>
    <col min="8" max="8" width="53.1640625" style="2" customWidth="1"/>
    <col min="9" max="13" width="15" style="2" customWidth="1"/>
    <col min="14" max="15" width="14.1640625" style="2" customWidth="1"/>
    <col min="16" max="16" width="17.6640625" style="2" customWidth="1"/>
    <col min="17" max="17" width="103.1640625" style="2" customWidth="1"/>
    <col min="18" max="18" width="120.6640625" style="7" customWidth="1"/>
    <col min="19" max="19" width="19.33203125" style="2" bestFit="1" customWidth="1"/>
    <col min="20" max="21" width="19.33203125" style="2" customWidth="1"/>
    <col min="22" max="22" width="43.1640625" style="2" customWidth="1"/>
    <col min="23" max="23" width="39.5" style="2" customWidth="1"/>
    <col min="24" max="24" width="11" style="2" customWidth="1"/>
    <col min="25" max="25" width="13.83203125" customWidth="1"/>
  </cols>
  <sheetData>
    <row r="1" spans="1:53" s="4" customFormat="1" ht="88" x14ac:dyDescent="0.25">
      <c r="A1" s="3" t="s">
        <v>0</v>
      </c>
      <c r="B1" s="3" t="s">
        <v>684</v>
      </c>
      <c r="C1" s="3" t="s">
        <v>690</v>
      </c>
      <c r="D1" s="3" t="s">
        <v>685</v>
      </c>
      <c r="E1" s="3" t="s">
        <v>686</v>
      </c>
      <c r="F1" s="3" t="s">
        <v>691</v>
      </c>
      <c r="G1" s="3" t="s">
        <v>687</v>
      </c>
      <c r="H1" s="3" t="s">
        <v>688</v>
      </c>
      <c r="I1" s="3" t="s">
        <v>763</v>
      </c>
      <c r="J1" s="3" t="s">
        <v>941</v>
      </c>
      <c r="K1" s="3" t="s">
        <v>942</v>
      </c>
      <c r="L1" s="3" t="s">
        <v>944</v>
      </c>
      <c r="M1" s="3" t="s">
        <v>943</v>
      </c>
      <c r="N1" s="3" t="s">
        <v>776</v>
      </c>
      <c r="O1" s="3" t="s">
        <v>692</v>
      </c>
      <c r="P1" s="3" t="s">
        <v>689</v>
      </c>
      <c r="Q1" s="3" t="s">
        <v>753</v>
      </c>
      <c r="R1" s="8" t="s">
        <v>456</v>
      </c>
      <c r="S1" s="3" t="s">
        <v>460</v>
      </c>
      <c r="T1" s="3" t="s">
        <v>461</v>
      </c>
      <c r="U1" s="3" t="s">
        <v>462</v>
      </c>
      <c r="V1" s="3" t="s">
        <v>1</v>
      </c>
      <c r="W1" s="3" t="s">
        <v>2</v>
      </c>
      <c r="X1" s="3" t="s">
        <v>934</v>
      </c>
      <c r="Y1" s="4" t="s">
        <v>3</v>
      </c>
      <c r="Z1" s="4" t="s">
        <v>4</v>
      </c>
      <c r="AA1" s="4" t="s">
        <v>5</v>
      </c>
      <c r="AB1" s="4" t="s">
        <v>6</v>
      </c>
      <c r="AC1" s="4" t="s">
        <v>7</v>
      </c>
      <c r="AD1" s="4" t="s">
        <v>8</v>
      </c>
      <c r="AE1" s="4" t="s">
        <v>9</v>
      </c>
      <c r="AF1" s="4" t="s">
        <v>10</v>
      </c>
      <c r="AG1" s="4" t="s">
        <v>11</v>
      </c>
      <c r="AH1" s="4" t="s">
        <v>12</v>
      </c>
      <c r="AI1" s="4" t="s">
        <v>13</v>
      </c>
      <c r="AJ1" s="4" t="s">
        <v>14</v>
      </c>
      <c r="AK1" s="4" t="s">
        <v>15</v>
      </c>
      <c r="AL1" s="4">
        <v>2008</v>
      </c>
      <c r="AM1" s="4">
        <v>2009</v>
      </c>
      <c r="AN1" s="4">
        <v>2010</v>
      </c>
      <c r="AO1" s="4">
        <v>2011</v>
      </c>
      <c r="AP1" s="4">
        <v>2012</v>
      </c>
      <c r="AQ1" s="4">
        <v>2013</v>
      </c>
      <c r="AR1" s="4">
        <v>2014</v>
      </c>
      <c r="AS1" s="4">
        <v>2015</v>
      </c>
      <c r="AT1" s="4">
        <v>2016</v>
      </c>
      <c r="AU1" s="4">
        <v>2017</v>
      </c>
      <c r="AV1" s="4">
        <v>2018</v>
      </c>
      <c r="AW1" s="4">
        <v>2019</v>
      </c>
      <c r="AX1" s="4">
        <v>2020</v>
      </c>
      <c r="AY1" s="4">
        <v>2021</v>
      </c>
    </row>
    <row r="2" spans="1:53" ht="238" x14ac:dyDescent="0.2">
      <c r="A2" s="2" t="s">
        <v>48</v>
      </c>
      <c r="B2" s="2" t="s">
        <v>754</v>
      </c>
      <c r="C2" s="2" t="s">
        <v>459</v>
      </c>
      <c r="D2" s="2" t="s">
        <v>700</v>
      </c>
      <c r="E2" s="2" t="s">
        <v>756</v>
      </c>
      <c r="F2" s="2" t="s">
        <v>459</v>
      </c>
      <c r="G2" s="2" t="s">
        <v>755</v>
      </c>
      <c r="H2" s="2" t="s">
        <v>940</v>
      </c>
      <c r="I2" s="2" t="s">
        <v>459</v>
      </c>
      <c r="J2" s="2" t="s">
        <v>459</v>
      </c>
      <c r="K2" s="2" t="s">
        <v>458</v>
      </c>
      <c r="L2" s="2" t="s">
        <v>459</v>
      </c>
      <c r="M2" s="2" t="s">
        <v>459</v>
      </c>
      <c r="N2" s="2" t="s">
        <v>459</v>
      </c>
      <c r="O2" s="2" t="s">
        <v>758</v>
      </c>
      <c r="P2" s="2" t="s">
        <v>758</v>
      </c>
      <c r="Q2" s="2" t="s">
        <v>759</v>
      </c>
      <c r="R2" s="7" t="s">
        <v>449</v>
      </c>
      <c r="S2" s="2" t="s">
        <v>458</v>
      </c>
      <c r="T2" s="2" t="s">
        <v>459</v>
      </c>
      <c r="U2" s="2" t="s">
        <v>459</v>
      </c>
      <c r="V2" s="2" t="s">
        <v>49</v>
      </c>
      <c r="W2" s="2" t="s">
        <v>448</v>
      </c>
      <c r="X2" s="5">
        <f t="shared" ref="X2:X36" si="0">COUNTIF($W$2:$W$36,W2)</f>
        <v>1</v>
      </c>
      <c r="Y2">
        <v>2020</v>
      </c>
      <c r="Z2">
        <v>22</v>
      </c>
      <c r="AA2">
        <v>12</v>
      </c>
      <c r="AJ2">
        <v>0</v>
      </c>
      <c r="AK2">
        <v>0</v>
      </c>
      <c r="AL2">
        <v>0</v>
      </c>
      <c r="AM2">
        <v>0</v>
      </c>
      <c r="AN2">
        <v>0</v>
      </c>
      <c r="AO2">
        <v>0</v>
      </c>
      <c r="AP2">
        <v>0</v>
      </c>
      <c r="AQ2">
        <v>0</v>
      </c>
      <c r="AR2">
        <v>0</v>
      </c>
      <c r="AS2">
        <v>0</v>
      </c>
      <c r="AT2">
        <v>0</v>
      </c>
      <c r="AU2">
        <v>0</v>
      </c>
      <c r="AV2">
        <v>0</v>
      </c>
      <c r="AW2">
        <v>0</v>
      </c>
      <c r="AX2">
        <v>0</v>
      </c>
      <c r="AY2">
        <v>0</v>
      </c>
    </row>
    <row r="3" spans="1:53" s="12" customFormat="1" ht="323" x14ac:dyDescent="0.2">
      <c r="A3" s="10" t="s">
        <v>51</v>
      </c>
      <c r="B3" s="10" t="s">
        <v>754</v>
      </c>
      <c r="C3" s="10" t="s">
        <v>459</v>
      </c>
      <c r="D3" s="10" t="s">
        <v>700</v>
      </c>
      <c r="E3" s="10" t="s">
        <v>760</v>
      </c>
      <c r="F3" s="10" t="s">
        <v>458</v>
      </c>
      <c r="G3" s="10" t="s">
        <v>761</v>
      </c>
      <c r="H3" s="10" t="s">
        <v>765</v>
      </c>
      <c r="I3" s="10" t="s">
        <v>459</v>
      </c>
      <c r="J3" s="10" t="s">
        <v>458</v>
      </c>
      <c r="K3" s="10" t="s">
        <v>459</v>
      </c>
      <c r="L3" s="10" t="s">
        <v>459</v>
      </c>
      <c r="M3" s="10" t="s">
        <v>459</v>
      </c>
      <c r="N3" s="10" t="s">
        <v>458</v>
      </c>
      <c r="O3" s="10" t="s">
        <v>758</v>
      </c>
      <c r="P3" s="10" t="s">
        <v>762</v>
      </c>
      <c r="Q3" s="10" t="s">
        <v>945</v>
      </c>
      <c r="R3" s="11" t="s">
        <v>453</v>
      </c>
      <c r="S3" s="10" t="s">
        <v>458</v>
      </c>
      <c r="T3" s="10" t="s">
        <v>458</v>
      </c>
      <c r="U3" s="10" t="s">
        <v>458</v>
      </c>
      <c r="V3" s="10" t="s">
        <v>52</v>
      </c>
      <c r="W3" s="10" t="s">
        <v>53</v>
      </c>
      <c r="X3" s="5">
        <f t="shared" si="0"/>
        <v>1</v>
      </c>
      <c r="Y3" s="12">
        <v>2008</v>
      </c>
      <c r="Z3" s="12">
        <v>64</v>
      </c>
      <c r="AA3" s="12">
        <v>2</v>
      </c>
      <c r="AD3" s="12">
        <v>255</v>
      </c>
      <c r="AE3" s="12">
        <v>263</v>
      </c>
      <c r="AG3" s="12" t="s">
        <v>54</v>
      </c>
      <c r="AH3" s="12" t="s">
        <v>55</v>
      </c>
      <c r="AI3" s="12" t="s">
        <v>56</v>
      </c>
      <c r="AJ3" s="12">
        <v>2007</v>
      </c>
      <c r="AK3" s="12">
        <v>81</v>
      </c>
      <c r="AL3" s="12">
        <v>5</v>
      </c>
      <c r="AM3" s="12">
        <v>79</v>
      </c>
      <c r="AN3" s="12">
        <v>3</v>
      </c>
      <c r="AO3" s="12">
        <v>3</v>
      </c>
      <c r="AP3" s="12">
        <v>16</v>
      </c>
      <c r="AQ3" s="12">
        <v>9</v>
      </c>
      <c r="AR3" s="12">
        <v>7</v>
      </c>
      <c r="AS3" s="12">
        <v>5</v>
      </c>
      <c r="AT3" s="12">
        <v>5</v>
      </c>
      <c r="AU3" s="12">
        <v>5</v>
      </c>
      <c r="AV3" s="12">
        <v>5</v>
      </c>
      <c r="AW3" s="12">
        <v>5</v>
      </c>
      <c r="AX3" s="12">
        <v>4</v>
      </c>
      <c r="AY3" s="12">
        <v>7</v>
      </c>
      <c r="AZ3" s="12">
        <v>6</v>
      </c>
      <c r="BA3" s="12">
        <v>1</v>
      </c>
    </row>
    <row r="4" spans="1:53" ht="221" x14ac:dyDescent="0.2">
      <c r="A4" s="2" t="s">
        <v>61</v>
      </c>
      <c r="B4" s="2" t="s">
        <v>766</v>
      </c>
      <c r="C4" s="2" t="s">
        <v>459</v>
      </c>
      <c r="D4" s="2" t="s">
        <v>700</v>
      </c>
      <c r="E4" s="2" t="s">
        <v>769</v>
      </c>
      <c r="F4" s="2" t="s">
        <v>458</v>
      </c>
      <c r="G4" s="2" t="s">
        <v>767</v>
      </c>
      <c r="H4" s="2" t="s">
        <v>768</v>
      </c>
      <c r="I4" s="2" t="s">
        <v>459</v>
      </c>
      <c r="J4" s="2" t="s">
        <v>458</v>
      </c>
      <c r="K4" s="2" t="s">
        <v>459</v>
      </c>
      <c r="L4" s="2" t="s">
        <v>459</v>
      </c>
      <c r="M4" s="2" t="s">
        <v>459</v>
      </c>
      <c r="N4" s="2" t="s">
        <v>458</v>
      </c>
      <c r="O4" s="2" t="s">
        <v>758</v>
      </c>
      <c r="P4" s="2" t="s">
        <v>770</v>
      </c>
      <c r="Q4" s="2" t="s">
        <v>771</v>
      </c>
      <c r="R4" s="7" t="s">
        <v>455</v>
      </c>
      <c r="S4" s="2" t="s">
        <v>459</v>
      </c>
      <c r="V4" s="2" t="s">
        <v>62</v>
      </c>
      <c r="W4" s="2" t="s">
        <v>45</v>
      </c>
      <c r="X4" s="5">
        <f t="shared" si="0"/>
        <v>4</v>
      </c>
      <c r="Y4">
        <v>2012</v>
      </c>
      <c r="Z4">
        <v>69</v>
      </c>
      <c r="AA4">
        <v>2</v>
      </c>
      <c r="AD4">
        <v>242</v>
      </c>
      <c r="AE4">
        <v>248</v>
      </c>
      <c r="AG4" t="s">
        <v>63</v>
      </c>
      <c r="AJ4">
        <v>77</v>
      </c>
      <c r="AK4">
        <v>7</v>
      </c>
      <c r="AL4">
        <v>7</v>
      </c>
      <c r="AM4">
        <v>0</v>
      </c>
      <c r="AN4">
        <v>0</v>
      </c>
      <c r="AO4">
        <v>0</v>
      </c>
      <c r="AP4">
        <v>0</v>
      </c>
      <c r="AQ4">
        <v>3</v>
      </c>
      <c r="AR4">
        <v>4</v>
      </c>
      <c r="AS4">
        <v>7</v>
      </c>
      <c r="AT4">
        <v>10</v>
      </c>
      <c r="AU4">
        <v>12</v>
      </c>
      <c r="AV4">
        <v>10</v>
      </c>
      <c r="AW4">
        <v>10</v>
      </c>
      <c r="AX4">
        <v>5</v>
      </c>
      <c r="AY4">
        <v>15</v>
      </c>
      <c r="AZ4">
        <v>1</v>
      </c>
    </row>
    <row r="5" spans="1:53" ht="136" x14ac:dyDescent="0.2">
      <c r="A5" s="2" t="s">
        <v>64</v>
      </c>
      <c r="B5" s="2" t="s">
        <v>710</v>
      </c>
      <c r="C5" s="2" t="s">
        <v>459</v>
      </c>
      <c r="D5" s="2" t="s">
        <v>711</v>
      </c>
      <c r="E5" s="2" t="s">
        <v>772</v>
      </c>
      <c r="F5" s="2" t="s">
        <v>459</v>
      </c>
      <c r="G5" s="2" t="s">
        <v>712</v>
      </c>
      <c r="H5" s="2" t="s">
        <v>713</v>
      </c>
      <c r="I5" s="2" t="s">
        <v>459</v>
      </c>
      <c r="J5" s="2" t="s">
        <v>458</v>
      </c>
      <c r="K5" s="2" t="s">
        <v>459</v>
      </c>
      <c r="L5" s="2" t="s">
        <v>459</v>
      </c>
      <c r="M5" s="2" t="s">
        <v>459</v>
      </c>
      <c r="N5" s="2" t="s">
        <v>458</v>
      </c>
      <c r="O5" s="2" t="s">
        <v>758</v>
      </c>
      <c r="P5" s="2" t="s">
        <v>714</v>
      </c>
      <c r="Q5" s="2" t="s">
        <v>773</v>
      </c>
      <c r="R5" s="7" t="s">
        <v>464</v>
      </c>
      <c r="S5" s="2" t="s">
        <v>458</v>
      </c>
      <c r="T5" s="2" t="s">
        <v>458</v>
      </c>
      <c r="U5" s="2" t="s">
        <v>459</v>
      </c>
      <c r="V5" s="2" t="s">
        <v>65</v>
      </c>
      <c r="W5" s="2" t="s">
        <v>66</v>
      </c>
      <c r="X5" s="5">
        <f t="shared" si="0"/>
        <v>2</v>
      </c>
      <c r="Y5">
        <v>2013</v>
      </c>
      <c r="Z5">
        <v>84</v>
      </c>
      <c r="AA5">
        <v>1</v>
      </c>
      <c r="AD5">
        <v>78</v>
      </c>
      <c r="AE5">
        <v>84</v>
      </c>
      <c r="AG5" t="s">
        <v>67</v>
      </c>
      <c r="AJ5">
        <v>44</v>
      </c>
      <c r="AK5">
        <v>4</v>
      </c>
      <c r="AL5">
        <v>89</v>
      </c>
      <c r="AM5">
        <v>0</v>
      </c>
      <c r="AN5">
        <v>0</v>
      </c>
      <c r="AO5">
        <v>0</v>
      </c>
      <c r="AP5">
        <v>0</v>
      </c>
      <c r="AQ5">
        <v>0</v>
      </c>
      <c r="AR5">
        <v>5</v>
      </c>
      <c r="AS5">
        <v>5</v>
      </c>
      <c r="AT5">
        <v>4</v>
      </c>
      <c r="AU5">
        <v>8</v>
      </c>
      <c r="AV5">
        <v>5</v>
      </c>
      <c r="AW5">
        <v>4</v>
      </c>
      <c r="AX5">
        <v>6</v>
      </c>
      <c r="AY5">
        <v>6</v>
      </c>
      <c r="AZ5">
        <v>1</v>
      </c>
    </row>
    <row r="6" spans="1:53" ht="244" customHeight="1" x14ac:dyDescent="0.2">
      <c r="A6" s="2" t="s">
        <v>68</v>
      </c>
      <c r="B6" s="2" t="s">
        <v>774</v>
      </c>
      <c r="C6" s="2" t="s">
        <v>458</v>
      </c>
      <c r="D6" s="2" t="s">
        <v>711</v>
      </c>
      <c r="E6" s="2" t="s">
        <v>715</v>
      </c>
      <c r="F6" s="2" t="s">
        <v>458</v>
      </c>
      <c r="G6" s="2" t="s">
        <v>716</v>
      </c>
      <c r="H6" s="2" t="s">
        <v>717</v>
      </c>
      <c r="I6" s="2" t="s">
        <v>459</v>
      </c>
      <c r="J6" s="2" t="s">
        <v>459</v>
      </c>
      <c r="K6" s="2" t="s">
        <v>459</v>
      </c>
      <c r="L6" s="2" t="s">
        <v>458</v>
      </c>
      <c r="M6" s="2" t="s">
        <v>459</v>
      </c>
      <c r="N6" s="2" t="s">
        <v>458</v>
      </c>
      <c r="O6" s="2" t="s">
        <v>758</v>
      </c>
      <c r="P6" s="2" t="s">
        <v>718</v>
      </c>
      <c r="R6" s="7" t="s">
        <v>465</v>
      </c>
      <c r="S6" s="2" t="s">
        <v>458</v>
      </c>
      <c r="T6" s="2" t="s">
        <v>458</v>
      </c>
      <c r="U6" s="2" t="s">
        <v>459</v>
      </c>
      <c r="V6" s="2" t="s">
        <v>69</v>
      </c>
      <c r="W6" s="2" t="s">
        <v>70</v>
      </c>
      <c r="X6" s="5">
        <f t="shared" si="0"/>
        <v>1</v>
      </c>
      <c r="Y6">
        <v>2010</v>
      </c>
      <c r="Z6">
        <v>27</v>
      </c>
      <c r="AA6">
        <v>10</v>
      </c>
      <c r="AD6">
        <v>734</v>
      </c>
      <c r="AE6">
        <v>738</v>
      </c>
      <c r="AG6" t="s">
        <v>71</v>
      </c>
      <c r="AJ6">
        <v>43</v>
      </c>
      <c r="AK6">
        <v>3</v>
      </c>
      <c r="AL6">
        <v>58</v>
      </c>
      <c r="AM6">
        <v>0</v>
      </c>
      <c r="AN6">
        <v>0</v>
      </c>
      <c r="AO6">
        <v>0</v>
      </c>
      <c r="AP6">
        <v>2</v>
      </c>
      <c r="AQ6">
        <v>3</v>
      </c>
      <c r="AR6">
        <v>6</v>
      </c>
      <c r="AS6">
        <v>7</v>
      </c>
      <c r="AT6">
        <v>1</v>
      </c>
      <c r="AU6">
        <v>5</v>
      </c>
      <c r="AV6">
        <v>3</v>
      </c>
      <c r="AW6">
        <v>3</v>
      </c>
      <c r="AX6">
        <v>6</v>
      </c>
      <c r="AY6">
        <v>7</v>
      </c>
      <c r="AZ6">
        <v>0</v>
      </c>
    </row>
    <row r="7" spans="1:53" s="12" customFormat="1" ht="221" x14ac:dyDescent="0.2">
      <c r="A7" s="10" t="s">
        <v>76</v>
      </c>
      <c r="B7" s="10" t="s">
        <v>719</v>
      </c>
      <c r="C7" s="10" t="s">
        <v>463</v>
      </c>
      <c r="D7" s="10" t="s">
        <v>700</v>
      </c>
      <c r="E7" s="10" t="s">
        <v>720</v>
      </c>
      <c r="F7" s="10" t="s">
        <v>459</v>
      </c>
      <c r="G7" s="10" t="s">
        <v>721</v>
      </c>
      <c r="H7" s="10" t="s">
        <v>722</v>
      </c>
      <c r="I7" s="10" t="s">
        <v>777</v>
      </c>
      <c r="J7" s="10" t="s">
        <v>458</v>
      </c>
      <c r="K7" s="10" t="s">
        <v>459</v>
      </c>
      <c r="L7" s="10" t="s">
        <v>459</v>
      </c>
      <c r="M7" s="10" t="s">
        <v>459</v>
      </c>
      <c r="N7" s="10" t="s">
        <v>458</v>
      </c>
      <c r="O7" s="10" t="s">
        <v>758</v>
      </c>
      <c r="P7" s="10" t="s">
        <v>723</v>
      </c>
      <c r="Q7" s="10"/>
      <c r="R7" s="11" t="s">
        <v>467</v>
      </c>
      <c r="S7" s="10" t="s">
        <v>458</v>
      </c>
      <c r="T7" s="10" t="s">
        <v>458</v>
      </c>
      <c r="U7" s="10" t="s">
        <v>459</v>
      </c>
      <c r="V7" s="10" t="s">
        <v>77</v>
      </c>
      <c r="W7" s="10" t="s">
        <v>468</v>
      </c>
      <c r="X7" s="5">
        <f t="shared" si="0"/>
        <v>1</v>
      </c>
      <c r="Y7" s="12">
        <v>2018</v>
      </c>
      <c r="Z7" s="12">
        <v>215</v>
      </c>
      <c r="AA7" s="12">
        <v>1</v>
      </c>
      <c r="AD7" s="12">
        <v>42</v>
      </c>
      <c r="AE7" s="12">
        <v>47</v>
      </c>
      <c r="AG7" s="12" t="s">
        <v>78</v>
      </c>
      <c r="AJ7" s="12">
        <v>27</v>
      </c>
      <c r="AK7" s="12">
        <v>6</v>
      </c>
      <c r="AL7" s="12">
        <v>75</v>
      </c>
      <c r="AM7" s="12">
        <v>0</v>
      </c>
      <c r="AN7" s="12">
        <v>0</v>
      </c>
      <c r="AO7" s="12">
        <v>0</v>
      </c>
      <c r="AP7" s="12">
        <v>0</v>
      </c>
      <c r="AQ7" s="12">
        <v>0</v>
      </c>
      <c r="AR7" s="12">
        <v>0</v>
      </c>
      <c r="AS7" s="12">
        <v>0</v>
      </c>
      <c r="AT7" s="12">
        <v>0</v>
      </c>
      <c r="AU7" s="12">
        <v>0</v>
      </c>
      <c r="AV7" s="12">
        <v>0</v>
      </c>
      <c r="AW7" s="12">
        <v>5</v>
      </c>
      <c r="AX7" s="12">
        <v>7</v>
      </c>
      <c r="AY7" s="12">
        <v>13</v>
      </c>
      <c r="AZ7" s="12">
        <v>2</v>
      </c>
    </row>
    <row r="8" spans="1:53" s="40" customFormat="1" ht="204" x14ac:dyDescent="0.2">
      <c r="A8" s="5" t="s">
        <v>97</v>
      </c>
      <c r="B8" s="5" t="s">
        <v>724</v>
      </c>
      <c r="C8" s="5" t="s">
        <v>463</v>
      </c>
      <c r="D8" s="5" t="s">
        <v>700</v>
      </c>
      <c r="E8" s="5" t="s">
        <v>725</v>
      </c>
      <c r="F8" s="5" t="s">
        <v>458</v>
      </c>
      <c r="G8" s="5" t="s">
        <v>726</v>
      </c>
      <c r="H8" s="5" t="s">
        <v>727</v>
      </c>
      <c r="I8" s="5" t="s">
        <v>459</v>
      </c>
      <c r="J8" s="5" t="s">
        <v>458</v>
      </c>
      <c r="K8" s="5" t="s">
        <v>459</v>
      </c>
      <c r="L8" s="5" t="s">
        <v>459</v>
      </c>
      <c r="M8" s="5" t="s">
        <v>459</v>
      </c>
      <c r="N8" s="5" t="s">
        <v>458</v>
      </c>
      <c r="O8" s="5" t="s">
        <v>758</v>
      </c>
      <c r="P8" s="5" t="s">
        <v>728</v>
      </c>
      <c r="Q8" s="41" t="s">
        <v>729</v>
      </c>
      <c r="R8" s="9" t="s">
        <v>474</v>
      </c>
      <c r="S8" s="5" t="s">
        <v>458</v>
      </c>
      <c r="T8" s="5" t="s">
        <v>458</v>
      </c>
      <c r="U8" s="5" t="s">
        <v>459</v>
      </c>
      <c r="V8" s="5" t="s">
        <v>98</v>
      </c>
      <c r="W8" s="5" t="s">
        <v>26</v>
      </c>
      <c r="X8" s="5">
        <f t="shared" si="0"/>
        <v>2</v>
      </c>
      <c r="Y8" s="40">
        <v>2015</v>
      </c>
      <c r="Z8" s="40">
        <v>10</v>
      </c>
      <c r="AA8" s="40">
        <v>3</v>
      </c>
      <c r="AD8" s="40">
        <v>139</v>
      </c>
      <c r="AE8" s="40">
        <v>145</v>
      </c>
      <c r="AG8" s="40" t="s">
        <v>99</v>
      </c>
      <c r="AJ8" s="40">
        <v>21</v>
      </c>
      <c r="AK8" s="40">
        <v>3</v>
      </c>
      <c r="AL8" s="40">
        <v>0</v>
      </c>
      <c r="AM8" s="40">
        <v>0</v>
      </c>
      <c r="AN8" s="40">
        <v>0</v>
      </c>
      <c r="AO8" s="40">
        <v>0</v>
      </c>
      <c r="AP8" s="40">
        <v>0</v>
      </c>
      <c r="AQ8" s="40">
        <v>0</v>
      </c>
      <c r="AR8" s="40">
        <v>0</v>
      </c>
      <c r="AS8" s="40">
        <v>3</v>
      </c>
      <c r="AT8" s="40">
        <v>1</v>
      </c>
      <c r="AU8" s="40">
        <v>5</v>
      </c>
      <c r="AV8" s="40">
        <v>4</v>
      </c>
      <c r="AW8" s="40">
        <v>2</v>
      </c>
      <c r="AX8" s="40">
        <v>5</v>
      </c>
      <c r="AY8" s="40">
        <v>1</v>
      </c>
    </row>
    <row r="9" spans="1:53" ht="255" x14ac:dyDescent="0.2">
      <c r="A9" s="2" t="s">
        <v>104</v>
      </c>
      <c r="B9" s="2" t="s">
        <v>786</v>
      </c>
      <c r="C9" s="2" t="s">
        <v>463</v>
      </c>
      <c r="D9" s="2" t="s">
        <v>711</v>
      </c>
      <c r="E9" s="2" t="s">
        <v>783</v>
      </c>
      <c r="F9" s="2" t="s">
        <v>459</v>
      </c>
      <c r="G9" s="2" t="s">
        <v>784</v>
      </c>
      <c r="H9" s="2" t="s">
        <v>950</v>
      </c>
      <c r="I9" s="2" t="s">
        <v>459</v>
      </c>
      <c r="J9" s="2" t="s">
        <v>459</v>
      </c>
      <c r="K9" s="2" t="s">
        <v>459</v>
      </c>
      <c r="L9" s="2" t="s">
        <v>458</v>
      </c>
      <c r="M9" s="2" t="s">
        <v>459</v>
      </c>
      <c r="N9" s="2" t="s">
        <v>458</v>
      </c>
      <c r="O9" s="2" t="s">
        <v>758</v>
      </c>
      <c r="P9" s="2" t="s">
        <v>788</v>
      </c>
      <c r="Q9" s="35" t="s">
        <v>787</v>
      </c>
      <c r="R9" s="7" t="s">
        <v>476</v>
      </c>
      <c r="S9" s="2" t="s">
        <v>458</v>
      </c>
      <c r="T9" s="2" t="s">
        <v>458</v>
      </c>
      <c r="U9" s="2" t="s">
        <v>458</v>
      </c>
      <c r="V9" s="2" t="s">
        <v>105</v>
      </c>
      <c r="W9" s="2" t="s">
        <v>66</v>
      </c>
      <c r="X9" s="5">
        <f t="shared" si="0"/>
        <v>2</v>
      </c>
      <c r="Y9">
        <v>2013</v>
      </c>
      <c r="Z9">
        <v>84</v>
      </c>
      <c r="AA9">
        <v>7</v>
      </c>
      <c r="AD9">
        <v>992</v>
      </c>
      <c r="AE9">
        <v>998</v>
      </c>
      <c r="AG9" t="s">
        <v>106</v>
      </c>
      <c r="AJ9">
        <v>18</v>
      </c>
      <c r="AK9">
        <v>2</v>
      </c>
      <c r="AL9">
        <v>0</v>
      </c>
      <c r="AM9">
        <v>0</v>
      </c>
      <c r="AN9">
        <v>0</v>
      </c>
      <c r="AO9">
        <v>0</v>
      </c>
      <c r="AP9">
        <v>0</v>
      </c>
      <c r="AQ9">
        <v>0</v>
      </c>
      <c r="AR9">
        <v>3</v>
      </c>
      <c r="AS9">
        <v>4</v>
      </c>
      <c r="AT9">
        <v>0</v>
      </c>
      <c r="AU9">
        <v>1</v>
      </c>
      <c r="AV9">
        <v>1</v>
      </c>
      <c r="AW9">
        <v>6</v>
      </c>
      <c r="AX9">
        <v>3</v>
      </c>
      <c r="AY9">
        <v>0</v>
      </c>
    </row>
    <row r="10" spans="1:53" ht="272" x14ac:dyDescent="0.2">
      <c r="A10" s="2" t="s">
        <v>117</v>
      </c>
      <c r="B10" s="2" t="s">
        <v>797</v>
      </c>
      <c r="C10" s="2" t="s">
        <v>463</v>
      </c>
      <c r="D10" s="2" t="s">
        <v>700</v>
      </c>
      <c r="E10" s="2" t="s">
        <v>794</v>
      </c>
      <c r="F10" s="2" t="s">
        <v>458</v>
      </c>
      <c r="G10" s="2" t="s">
        <v>796</v>
      </c>
      <c r="H10" s="2" t="s">
        <v>795</v>
      </c>
      <c r="I10" s="2" t="s">
        <v>459</v>
      </c>
      <c r="J10" s="2" t="s">
        <v>458</v>
      </c>
      <c r="K10" s="2" t="s">
        <v>459</v>
      </c>
      <c r="L10" s="2" t="s">
        <v>459</v>
      </c>
      <c r="M10" s="2" t="s">
        <v>459</v>
      </c>
      <c r="N10" s="2" t="s">
        <v>458</v>
      </c>
      <c r="O10" s="2" t="s">
        <v>758</v>
      </c>
      <c r="P10" s="2" t="s">
        <v>798</v>
      </c>
      <c r="R10" s="7" t="s">
        <v>479</v>
      </c>
      <c r="S10" s="2" t="s">
        <v>458</v>
      </c>
      <c r="T10" s="2" t="s">
        <v>458</v>
      </c>
      <c r="U10" s="2" t="s">
        <v>458</v>
      </c>
      <c r="V10" s="2" t="s">
        <v>118</v>
      </c>
      <c r="W10" s="2" t="s">
        <v>45</v>
      </c>
      <c r="X10" s="5">
        <f t="shared" si="0"/>
        <v>4</v>
      </c>
      <c r="Y10">
        <v>2016</v>
      </c>
      <c r="Z10">
        <v>73</v>
      </c>
      <c r="AA10">
        <v>1</v>
      </c>
      <c r="AD10">
        <v>121</v>
      </c>
      <c r="AE10">
        <v>128</v>
      </c>
      <c r="AG10" t="s">
        <v>119</v>
      </c>
      <c r="AJ10">
        <v>16</v>
      </c>
      <c r="AK10">
        <v>2</v>
      </c>
      <c r="AL10">
        <v>67</v>
      </c>
      <c r="AM10">
        <v>0</v>
      </c>
      <c r="AN10">
        <v>0</v>
      </c>
      <c r="AO10">
        <v>0</v>
      </c>
      <c r="AP10">
        <v>0</v>
      </c>
      <c r="AQ10">
        <v>0</v>
      </c>
      <c r="AR10">
        <v>0</v>
      </c>
      <c r="AS10">
        <v>0</v>
      </c>
      <c r="AT10">
        <v>0</v>
      </c>
      <c r="AU10">
        <v>1</v>
      </c>
      <c r="AV10">
        <v>2</v>
      </c>
      <c r="AW10">
        <v>4</v>
      </c>
      <c r="AX10">
        <v>4</v>
      </c>
      <c r="AY10">
        <v>4</v>
      </c>
      <c r="AZ10">
        <v>1</v>
      </c>
    </row>
    <row r="11" spans="1:53" s="12" customFormat="1" ht="272" x14ac:dyDescent="0.2">
      <c r="A11" s="10" t="s">
        <v>120</v>
      </c>
      <c r="B11" s="10" t="s">
        <v>799</v>
      </c>
      <c r="C11" s="10" t="s">
        <v>459</v>
      </c>
      <c r="D11" s="10" t="s">
        <v>700</v>
      </c>
      <c r="E11" s="10" t="s">
        <v>801</v>
      </c>
      <c r="F11" s="10" t="s">
        <v>459</v>
      </c>
      <c r="G11" s="10" t="s">
        <v>802</v>
      </c>
      <c r="H11" s="10" t="s">
        <v>800</v>
      </c>
      <c r="I11" s="10" t="s">
        <v>459</v>
      </c>
      <c r="J11" s="10" t="s">
        <v>458</v>
      </c>
      <c r="K11" s="10" t="s">
        <v>459</v>
      </c>
      <c r="L11" s="10" t="s">
        <v>459</v>
      </c>
      <c r="M11" s="10" t="s">
        <v>459</v>
      </c>
      <c r="N11" s="10" t="s">
        <v>458</v>
      </c>
      <c r="O11" s="10" t="s">
        <v>758</v>
      </c>
      <c r="P11" s="10" t="s">
        <v>803</v>
      </c>
      <c r="Q11" s="44" t="s">
        <v>946</v>
      </c>
      <c r="R11" s="11" t="s">
        <v>480</v>
      </c>
      <c r="S11" s="10" t="s">
        <v>458</v>
      </c>
      <c r="T11" s="10" t="s">
        <v>458</v>
      </c>
      <c r="U11" s="10" t="s">
        <v>458</v>
      </c>
      <c r="V11" s="10" t="s">
        <v>121</v>
      </c>
      <c r="W11" s="10" t="s">
        <v>481</v>
      </c>
      <c r="X11" s="5">
        <f t="shared" si="0"/>
        <v>1</v>
      </c>
      <c r="Y11" s="12">
        <v>2015</v>
      </c>
      <c r="Z11" s="12">
        <v>46</v>
      </c>
      <c r="AA11" s="12">
        <v>9</v>
      </c>
      <c r="AD11" s="12">
        <v>1796</v>
      </c>
      <c r="AE11" s="12">
        <v>1800</v>
      </c>
      <c r="AG11" s="12" t="s">
        <v>122</v>
      </c>
      <c r="AJ11" s="12">
        <v>16</v>
      </c>
      <c r="AK11" s="12">
        <v>2</v>
      </c>
      <c r="AL11" s="12">
        <v>29</v>
      </c>
      <c r="AM11" s="12">
        <v>0</v>
      </c>
      <c r="AN11" s="12">
        <v>0</v>
      </c>
      <c r="AO11" s="12">
        <v>0</v>
      </c>
      <c r="AP11" s="12">
        <v>0</v>
      </c>
      <c r="AQ11" s="12">
        <v>0</v>
      </c>
      <c r="AR11" s="12">
        <v>0</v>
      </c>
      <c r="AS11" s="12">
        <v>0</v>
      </c>
      <c r="AT11" s="12">
        <v>0</v>
      </c>
      <c r="AU11" s="12">
        <v>4</v>
      </c>
      <c r="AV11" s="12">
        <v>2</v>
      </c>
      <c r="AW11" s="12">
        <v>5</v>
      </c>
      <c r="AX11" s="12">
        <v>2</v>
      </c>
      <c r="AY11" s="12">
        <v>2</v>
      </c>
      <c r="AZ11" s="12">
        <v>1</v>
      </c>
    </row>
    <row r="12" spans="1:53" ht="289" x14ac:dyDescent="0.2">
      <c r="A12" s="2" t="s">
        <v>139</v>
      </c>
      <c r="B12" s="2" t="s">
        <v>809</v>
      </c>
      <c r="C12" s="2" t="s">
        <v>459</v>
      </c>
      <c r="D12" s="2" t="s">
        <v>700</v>
      </c>
      <c r="E12" s="2" t="s">
        <v>810</v>
      </c>
      <c r="F12" s="2" t="s">
        <v>459</v>
      </c>
      <c r="G12" s="2" t="s">
        <v>812</v>
      </c>
      <c r="H12" s="2" t="s">
        <v>947</v>
      </c>
      <c r="I12" s="2" t="s">
        <v>459</v>
      </c>
      <c r="J12" s="2" t="s">
        <v>458</v>
      </c>
      <c r="K12" s="2" t="s">
        <v>459</v>
      </c>
      <c r="L12" s="2" t="s">
        <v>459</v>
      </c>
      <c r="M12" s="2" t="s">
        <v>459</v>
      </c>
      <c r="N12" s="2" t="s">
        <v>458</v>
      </c>
      <c r="O12" s="2" t="s">
        <v>758</v>
      </c>
      <c r="P12" s="2" t="s">
        <v>813</v>
      </c>
      <c r="R12" s="7" t="s">
        <v>486</v>
      </c>
      <c r="S12" s="2" t="s">
        <v>458</v>
      </c>
      <c r="T12" s="2" t="s">
        <v>458</v>
      </c>
      <c r="U12" s="2" t="s">
        <v>458</v>
      </c>
      <c r="V12" s="2" t="s">
        <v>140</v>
      </c>
      <c r="W12" s="2" t="s">
        <v>141</v>
      </c>
      <c r="X12" s="5">
        <f t="shared" si="0"/>
        <v>1</v>
      </c>
      <c r="Y12">
        <v>2010</v>
      </c>
      <c r="Z12">
        <v>34</v>
      </c>
      <c r="AA12">
        <v>1</v>
      </c>
      <c r="AD12">
        <v>164</v>
      </c>
      <c r="AE12">
        <v>168</v>
      </c>
      <c r="AG12" t="s">
        <v>142</v>
      </c>
      <c r="AJ12">
        <v>14</v>
      </c>
      <c r="AK12">
        <v>1</v>
      </c>
      <c r="AL12">
        <v>17</v>
      </c>
      <c r="AM12">
        <v>0</v>
      </c>
      <c r="AN12">
        <v>0</v>
      </c>
      <c r="AO12">
        <v>0</v>
      </c>
      <c r="AP12">
        <v>1</v>
      </c>
      <c r="AQ12">
        <v>1</v>
      </c>
      <c r="AR12">
        <v>2</v>
      </c>
      <c r="AS12">
        <v>0</v>
      </c>
      <c r="AT12">
        <v>2</v>
      </c>
      <c r="AU12">
        <v>3</v>
      </c>
      <c r="AV12">
        <v>1</v>
      </c>
      <c r="AW12">
        <v>1</v>
      </c>
      <c r="AX12">
        <v>1</v>
      </c>
      <c r="AY12">
        <v>2</v>
      </c>
      <c r="AZ12">
        <v>0</v>
      </c>
    </row>
    <row r="13" spans="1:53" ht="255" x14ac:dyDescent="0.2">
      <c r="A13" s="2" t="s">
        <v>146</v>
      </c>
      <c r="B13" s="2" t="s">
        <v>815</v>
      </c>
      <c r="C13" s="2" t="s">
        <v>459</v>
      </c>
      <c r="D13" s="2" t="s">
        <v>694</v>
      </c>
      <c r="E13" s="2" t="s">
        <v>816</v>
      </c>
      <c r="F13" s="2" t="s">
        <v>458</v>
      </c>
      <c r="G13" s="2" t="s">
        <v>814</v>
      </c>
      <c r="H13" s="2" t="s">
        <v>817</v>
      </c>
      <c r="I13" s="2" t="s">
        <v>459</v>
      </c>
      <c r="J13" s="2" t="s">
        <v>459</v>
      </c>
      <c r="K13" s="2" t="s">
        <v>458</v>
      </c>
      <c r="L13" s="2" t="s">
        <v>459</v>
      </c>
      <c r="M13" s="2" t="s">
        <v>459</v>
      </c>
      <c r="N13" s="2" t="s">
        <v>459</v>
      </c>
      <c r="O13" s="2" t="s">
        <v>758</v>
      </c>
      <c r="P13" s="2" t="s">
        <v>818</v>
      </c>
      <c r="R13" s="7" t="s">
        <v>488</v>
      </c>
      <c r="S13" s="2" t="s">
        <v>458</v>
      </c>
      <c r="T13" s="2" t="s">
        <v>459</v>
      </c>
      <c r="U13" s="2" t="s">
        <v>459</v>
      </c>
      <c r="V13" s="2" t="s">
        <v>147</v>
      </c>
      <c r="W13" s="2" t="s">
        <v>22</v>
      </c>
      <c r="X13" s="5">
        <f t="shared" si="0"/>
        <v>1</v>
      </c>
      <c r="Y13">
        <v>2010</v>
      </c>
      <c r="Z13">
        <v>18</v>
      </c>
      <c r="AF13">
        <v>13</v>
      </c>
      <c r="AG13" t="s">
        <v>148</v>
      </c>
      <c r="AJ13">
        <v>13</v>
      </c>
      <c r="AK13">
        <v>1</v>
      </c>
      <c r="AL13">
        <v>8</v>
      </c>
      <c r="AM13">
        <v>0</v>
      </c>
      <c r="AN13">
        <v>0</v>
      </c>
      <c r="AO13">
        <v>0</v>
      </c>
      <c r="AP13">
        <v>1</v>
      </c>
      <c r="AQ13">
        <v>1</v>
      </c>
      <c r="AR13">
        <v>2</v>
      </c>
      <c r="AS13">
        <v>2</v>
      </c>
      <c r="AT13">
        <v>2</v>
      </c>
      <c r="AU13">
        <v>2</v>
      </c>
      <c r="AV13">
        <v>0</v>
      </c>
      <c r="AW13">
        <v>2</v>
      </c>
      <c r="AX13">
        <v>0</v>
      </c>
      <c r="AY13">
        <v>0</v>
      </c>
      <c r="AZ13">
        <v>1</v>
      </c>
    </row>
    <row r="14" spans="1:53" ht="340" x14ac:dyDescent="0.2">
      <c r="A14" s="2" t="s">
        <v>153</v>
      </c>
      <c r="B14" s="2" t="s">
        <v>766</v>
      </c>
      <c r="C14" s="2" t="s">
        <v>459</v>
      </c>
      <c r="D14" s="2" t="s">
        <v>700</v>
      </c>
      <c r="E14" s="2" t="s">
        <v>820</v>
      </c>
      <c r="F14" s="2" t="s">
        <v>458</v>
      </c>
      <c r="G14" s="2" t="s">
        <v>821</v>
      </c>
      <c r="H14" s="2" t="s">
        <v>819</v>
      </c>
      <c r="I14" s="2" t="s">
        <v>459</v>
      </c>
      <c r="J14" s="2" t="s">
        <v>458</v>
      </c>
      <c r="K14" s="2" t="s">
        <v>459</v>
      </c>
      <c r="L14" s="2" t="s">
        <v>459</v>
      </c>
      <c r="M14" s="2" t="s">
        <v>459</v>
      </c>
      <c r="N14" s="2" t="s">
        <v>458</v>
      </c>
      <c r="O14" s="2" t="s">
        <v>758</v>
      </c>
      <c r="P14" s="2" t="s">
        <v>822</v>
      </c>
      <c r="R14" s="7" t="s">
        <v>492</v>
      </c>
      <c r="S14" s="2" t="s">
        <v>491</v>
      </c>
      <c r="T14" s="2" t="s">
        <v>459</v>
      </c>
      <c r="U14" s="2" t="s">
        <v>459</v>
      </c>
      <c r="V14" s="2" t="s">
        <v>154</v>
      </c>
      <c r="W14" s="2" t="s">
        <v>155</v>
      </c>
      <c r="X14" s="5">
        <f t="shared" si="0"/>
        <v>1</v>
      </c>
      <c r="Y14">
        <v>2013</v>
      </c>
      <c r="Z14">
        <v>154</v>
      </c>
      <c r="AA14">
        <v>2</v>
      </c>
      <c r="AD14">
        <v>345</v>
      </c>
      <c r="AE14">
        <v>350</v>
      </c>
      <c r="AG14" t="s">
        <v>156</v>
      </c>
      <c r="AJ14">
        <v>12</v>
      </c>
      <c r="AK14">
        <v>1</v>
      </c>
      <c r="AL14">
        <v>33</v>
      </c>
      <c r="AM14">
        <v>0</v>
      </c>
      <c r="AN14">
        <v>0</v>
      </c>
      <c r="AO14">
        <v>0</v>
      </c>
      <c r="AP14">
        <v>0</v>
      </c>
      <c r="AQ14">
        <v>0</v>
      </c>
      <c r="AR14">
        <v>0</v>
      </c>
      <c r="AS14">
        <v>1</v>
      </c>
      <c r="AT14">
        <v>3</v>
      </c>
      <c r="AU14">
        <v>4</v>
      </c>
      <c r="AV14">
        <v>2</v>
      </c>
      <c r="AW14">
        <v>1</v>
      </c>
      <c r="AX14">
        <v>1</v>
      </c>
      <c r="AY14">
        <v>0</v>
      </c>
      <c r="AZ14">
        <v>0</v>
      </c>
    </row>
    <row r="15" spans="1:53" ht="356" x14ac:dyDescent="0.2">
      <c r="A15" s="2" t="s">
        <v>166</v>
      </c>
      <c r="B15" s="2" t="s">
        <v>826</v>
      </c>
      <c r="C15" s="2" t="s">
        <v>459</v>
      </c>
      <c r="D15" s="2" t="s">
        <v>711</v>
      </c>
      <c r="E15" s="2" t="s">
        <v>823</v>
      </c>
      <c r="F15" s="2" t="s">
        <v>459</v>
      </c>
      <c r="G15" s="2" t="s">
        <v>824</v>
      </c>
      <c r="H15" s="2" t="s">
        <v>825</v>
      </c>
      <c r="I15" s="2" t="s">
        <v>459</v>
      </c>
      <c r="J15" s="2" t="s">
        <v>459</v>
      </c>
      <c r="K15" s="2" t="s">
        <v>458</v>
      </c>
      <c r="L15" s="2" t="s">
        <v>459</v>
      </c>
      <c r="M15" s="2" t="s">
        <v>459</v>
      </c>
      <c r="N15" s="2" t="s">
        <v>458</v>
      </c>
      <c r="O15" s="2" t="s">
        <v>758</v>
      </c>
      <c r="P15" s="2" t="s">
        <v>827</v>
      </c>
      <c r="R15" s="7" t="s">
        <v>495</v>
      </c>
      <c r="S15" s="2" t="s">
        <v>496</v>
      </c>
      <c r="T15" s="2" t="s">
        <v>458</v>
      </c>
      <c r="U15" s="2" t="s">
        <v>458</v>
      </c>
      <c r="V15" s="2" t="s">
        <v>167</v>
      </c>
      <c r="W15" s="2" t="s">
        <v>164</v>
      </c>
      <c r="X15" s="5">
        <f t="shared" si="0"/>
        <v>1</v>
      </c>
      <c r="Y15">
        <v>2014</v>
      </c>
      <c r="Z15">
        <v>40</v>
      </c>
      <c r="AA15">
        <v>4</v>
      </c>
      <c r="AD15">
        <v>429</v>
      </c>
      <c r="AE15">
        <v>443</v>
      </c>
      <c r="AG15" t="s">
        <v>168</v>
      </c>
      <c r="AJ15">
        <v>10</v>
      </c>
      <c r="AK15">
        <v>1</v>
      </c>
      <c r="AL15">
        <v>25</v>
      </c>
      <c r="AM15">
        <v>0</v>
      </c>
      <c r="AN15">
        <v>0</v>
      </c>
      <c r="AO15">
        <v>0</v>
      </c>
      <c r="AP15">
        <v>0</v>
      </c>
      <c r="AQ15">
        <v>0</v>
      </c>
      <c r="AR15">
        <v>0</v>
      </c>
      <c r="AS15">
        <v>1</v>
      </c>
      <c r="AT15">
        <v>1</v>
      </c>
      <c r="AU15">
        <v>1</v>
      </c>
      <c r="AV15">
        <v>2</v>
      </c>
      <c r="AW15">
        <v>1</v>
      </c>
      <c r="AX15">
        <v>0</v>
      </c>
      <c r="AY15">
        <v>4</v>
      </c>
      <c r="AZ15">
        <v>0</v>
      </c>
    </row>
    <row r="16" spans="1:53" s="12" customFormat="1" ht="323" x14ac:dyDescent="0.2">
      <c r="A16" s="10" t="s">
        <v>179</v>
      </c>
      <c r="B16" s="10" t="s">
        <v>734</v>
      </c>
      <c r="C16" s="10" t="s">
        <v>458</v>
      </c>
      <c r="D16" s="10" t="s">
        <v>700</v>
      </c>
      <c r="E16" s="10" t="s">
        <v>735</v>
      </c>
      <c r="F16" s="10" t="s">
        <v>459</v>
      </c>
      <c r="G16" s="10" t="s">
        <v>736</v>
      </c>
      <c r="H16" s="10" t="s">
        <v>737</v>
      </c>
      <c r="I16" s="10" t="s">
        <v>459</v>
      </c>
      <c r="J16" s="10" t="s">
        <v>458</v>
      </c>
      <c r="K16" s="10" t="s">
        <v>459</v>
      </c>
      <c r="L16" s="10" t="s">
        <v>459</v>
      </c>
      <c r="M16" s="10" t="s">
        <v>459</v>
      </c>
      <c r="N16" s="10" t="s">
        <v>458</v>
      </c>
      <c r="O16" s="10" t="s">
        <v>758</v>
      </c>
      <c r="P16" s="10" t="s">
        <v>738</v>
      </c>
      <c r="Q16" s="10"/>
      <c r="R16" s="11" t="s">
        <v>499</v>
      </c>
      <c r="S16" s="10" t="s">
        <v>458</v>
      </c>
      <c r="T16" s="10" t="s">
        <v>458</v>
      </c>
      <c r="U16" s="10" t="s">
        <v>459</v>
      </c>
      <c r="V16" s="10" t="s">
        <v>180</v>
      </c>
      <c r="W16" s="10" t="s">
        <v>181</v>
      </c>
      <c r="X16" s="5">
        <f t="shared" si="0"/>
        <v>1</v>
      </c>
      <c r="Y16" s="12">
        <v>2013</v>
      </c>
      <c r="Z16" s="12">
        <v>29</v>
      </c>
      <c r="AA16" s="12">
        <v>5</v>
      </c>
      <c r="AD16" s="12">
        <v>1265</v>
      </c>
      <c r="AE16" s="12">
        <v>1268</v>
      </c>
      <c r="AJ16" s="12">
        <v>10</v>
      </c>
      <c r="AK16" s="12">
        <v>1</v>
      </c>
      <c r="AL16" s="12">
        <v>11</v>
      </c>
      <c r="AM16" s="12">
        <v>0</v>
      </c>
      <c r="AN16" s="12">
        <v>0</v>
      </c>
      <c r="AO16" s="12">
        <v>0</v>
      </c>
      <c r="AP16" s="12">
        <v>0</v>
      </c>
      <c r="AQ16" s="12">
        <v>0</v>
      </c>
      <c r="AR16" s="12">
        <v>0</v>
      </c>
      <c r="AS16" s="12">
        <v>0</v>
      </c>
      <c r="AT16" s="12">
        <v>1</v>
      </c>
      <c r="AU16" s="12">
        <v>1</v>
      </c>
      <c r="AV16" s="12">
        <v>2</v>
      </c>
      <c r="AW16" s="12">
        <v>2</v>
      </c>
      <c r="AX16" s="12">
        <v>1</v>
      </c>
      <c r="AY16" s="12">
        <v>3</v>
      </c>
      <c r="AZ16" s="12">
        <v>0</v>
      </c>
    </row>
    <row r="17" spans="1:55" ht="215" customHeight="1" x14ac:dyDescent="0.2">
      <c r="A17" s="2" t="s">
        <v>182</v>
      </c>
      <c r="B17" s="2" t="s">
        <v>739</v>
      </c>
      <c r="C17" s="2" t="s">
        <v>459</v>
      </c>
      <c r="D17" s="2" t="s">
        <v>700</v>
      </c>
      <c r="E17" s="2" t="s">
        <v>740</v>
      </c>
      <c r="F17" s="2" t="s">
        <v>458</v>
      </c>
      <c r="G17" s="2" t="s">
        <v>741</v>
      </c>
      <c r="H17" s="2" t="s">
        <v>742</v>
      </c>
      <c r="I17" s="2" t="s">
        <v>459</v>
      </c>
      <c r="J17" s="2" t="s">
        <v>459</v>
      </c>
      <c r="K17" s="2" t="s">
        <v>459</v>
      </c>
      <c r="L17" s="2" t="s">
        <v>458</v>
      </c>
      <c r="M17" s="2" t="s">
        <v>459</v>
      </c>
      <c r="N17" s="2" t="s">
        <v>458</v>
      </c>
      <c r="O17" s="2" t="s">
        <v>758</v>
      </c>
      <c r="P17" s="2" t="s">
        <v>743</v>
      </c>
      <c r="R17" s="7" t="s">
        <v>500</v>
      </c>
      <c r="S17" s="2" t="s">
        <v>458</v>
      </c>
      <c r="T17" s="2" t="s">
        <v>458</v>
      </c>
      <c r="U17" s="2" t="s">
        <v>459</v>
      </c>
      <c r="V17" s="2" t="s">
        <v>183</v>
      </c>
      <c r="W17" s="2" t="s">
        <v>184</v>
      </c>
      <c r="X17" s="5">
        <f t="shared" si="0"/>
        <v>2</v>
      </c>
      <c r="Y17">
        <v>2010</v>
      </c>
      <c r="Z17">
        <v>162</v>
      </c>
      <c r="AA17">
        <v>1</v>
      </c>
      <c r="AD17">
        <v>7</v>
      </c>
      <c r="AE17">
        <v>10</v>
      </c>
      <c r="AG17" t="s">
        <v>185</v>
      </c>
      <c r="AJ17">
        <v>10</v>
      </c>
      <c r="AK17">
        <v>0</v>
      </c>
      <c r="AL17">
        <v>83</v>
      </c>
      <c r="AM17">
        <v>0</v>
      </c>
      <c r="AN17">
        <v>0</v>
      </c>
      <c r="AO17">
        <v>0</v>
      </c>
      <c r="AP17">
        <v>1</v>
      </c>
      <c r="AQ17">
        <v>1</v>
      </c>
      <c r="AR17">
        <v>2</v>
      </c>
      <c r="AS17">
        <v>1</v>
      </c>
      <c r="AT17">
        <v>2</v>
      </c>
      <c r="AU17">
        <v>1</v>
      </c>
      <c r="AV17">
        <v>1</v>
      </c>
      <c r="AW17">
        <v>0</v>
      </c>
      <c r="AX17">
        <v>1</v>
      </c>
      <c r="AY17">
        <v>0</v>
      </c>
      <c r="AZ17">
        <v>0</v>
      </c>
    </row>
    <row r="18" spans="1:55" ht="408" customHeight="1" x14ac:dyDescent="0.2">
      <c r="A18" s="2" t="s">
        <v>186</v>
      </c>
      <c r="B18" s="2" t="s">
        <v>744</v>
      </c>
      <c r="C18" s="2" t="s">
        <v>458</v>
      </c>
      <c r="D18" s="2" t="s">
        <v>700</v>
      </c>
      <c r="E18" s="2" t="s">
        <v>745</v>
      </c>
      <c r="F18" s="2" t="s">
        <v>459</v>
      </c>
      <c r="G18" s="2" t="s">
        <v>746</v>
      </c>
      <c r="H18" s="2" t="s">
        <v>747</v>
      </c>
      <c r="I18" s="2" t="s">
        <v>459</v>
      </c>
      <c r="J18" s="2" t="s">
        <v>458</v>
      </c>
      <c r="K18" s="2" t="s">
        <v>459</v>
      </c>
      <c r="L18" s="2" t="s">
        <v>459</v>
      </c>
      <c r="M18" s="2" t="s">
        <v>459</v>
      </c>
      <c r="N18" s="2" t="s">
        <v>458</v>
      </c>
      <c r="O18" s="2" t="s">
        <v>828</v>
      </c>
      <c r="P18" s="2" t="s">
        <v>748</v>
      </c>
      <c r="R18" s="7" t="s">
        <v>501</v>
      </c>
      <c r="S18" s="2" t="s">
        <v>458</v>
      </c>
      <c r="T18" s="2" t="s">
        <v>458</v>
      </c>
      <c r="U18" s="2" t="s">
        <v>459</v>
      </c>
      <c r="V18" s="2" t="s">
        <v>187</v>
      </c>
      <c r="W18" s="2" t="s">
        <v>188</v>
      </c>
      <c r="X18" s="5">
        <f t="shared" si="0"/>
        <v>1</v>
      </c>
      <c r="Y18">
        <v>2018</v>
      </c>
      <c r="Z18">
        <v>9</v>
      </c>
      <c r="AD18">
        <v>86</v>
      </c>
      <c r="AE18">
        <v>92</v>
      </c>
      <c r="AG18" t="s">
        <v>189</v>
      </c>
      <c r="AJ18">
        <v>9</v>
      </c>
      <c r="AK18">
        <v>2</v>
      </c>
      <c r="AL18">
        <v>25</v>
      </c>
      <c r="AM18">
        <v>0</v>
      </c>
      <c r="AN18">
        <v>0</v>
      </c>
      <c r="AO18">
        <v>0</v>
      </c>
      <c r="AP18">
        <v>0</v>
      </c>
      <c r="AQ18">
        <v>0</v>
      </c>
      <c r="AR18">
        <v>0</v>
      </c>
      <c r="AS18">
        <v>0</v>
      </c>
      <c r="AT18">
        <v>0</v>
      </c>
      <c r="AU18">
        <v>0</v>
      </c>
      <c r="AV18">
        <v>0</v>
      </c>
      <c r="AW18">
        <v>0</v>
      </c>
      <c r="AX18">
        <v>4</v>
      </c>
      <c r="AY18">
        <v>5</v>
      </c>
      <c r="AZ18">
        <v>0</v>
      </c>
    </row>
    <row r="19" spans="1:55" ht="204" x14ac:dyDescent="0.2">
      <c r="A19" s="2" t="s">
        <v>190</v>
      </c>
      <c r="B19" s="2" t="s">
        <v>829</v>
      </c>
      <c r="C19" s="2" t="s">
        <v>459</v>
      </c>
      <c r="D19" s="2" t="s">
        <v>694</v>
      </c>
      <c r="E19" s="2" t="s">
        <v>782</v>
      </c>
      <c r="F19" s="2" t="s">
        <v>458</v>
      </c>
      <c r="G19" s="2" t="s">
        <v>830</v>
      </c>
      <c r="H19" s="2" t="s">
        <v>951</v>
      </c>
      <c r="I19" s="2" t="s">
        <v>459</v>
      </c>
      <c r="J19" s="2" t="s">
        <v>459</v>
      </c>
      <c r="K19" s="2" t="s">
        <v>459</v>
      </c>
      <c r="L19" s="2" t="s">
        <v>458</v>
      </c>
      <c r="M19" s="2" t="s">
        <v>459</v>
      </c>
      <c r="N19" s="2" t="s">
        <v>458</v>
      </c>
      <c r="O19" s="2" t="s">
        <v>833</v>
      </c>
      <c r="P19" s="2" t="s">
        <v>831</v>
      </c>
      <c r="R19" s="7" t="s">
        <v>502</v>
      </c>
      <c r="V19" s="2" t="s">
        <v>191</v>
      </c>
      <c r="W19" s="2" t="s">
        <v>184</v>
      </c>
      <c r="X19" s="5">
        <f t="shared" si="0"/>
        <v>2</v>
      </c>
      <c r="Y19">
        <v>2015</v>
      </c>
      <c r="Z19">
        <v>197</v>
      </c>
      <c r="AA19">
        <v>2</v>
      </c>
      <c r="AD19">
        <v>331</v>
      </c>
      <c r="AE19">
        <v>338</v>
      </c>
      <c r="AG19" t="s">
        <v>192</v>
      </c>
      <c r="AJ19">
        <v>9</v>
      </c>
      <c r="AK19">
        <v>1</v>
      </c>
      <c r="AL19">
        <v>29</v>
      </c>
      <c r="AM19">
        <v>0</v>
      </c>
      <c r="AN19">
        <v>0</v>
      </c>
      <c r="AO19">
        <v>0</v>
      </c>
      <c r="AP19">
        <v>0</v>
      </c>
      <c r="AQ19">
        <v>0</v>
      </c>
      <c r="AR19">
        <v>0</v>
      </c>
      <c r="AS19">
        <v>0</v>
      </c>
      <c r="AT19">
        <v>0</v>
      </c>
      <c r="AU19">
        <v>3</v>
      </c>
      <c r="AV19">
        <v>0</v>
      </c>
      <c r="AW19">
        <v>0</v>
      </c>
      <c r="AX19">
        <v>2</v>
      </c>
      <c r="AY19">
        <v>4</v>
      </c>
      <c r="AZ19">
        <v>0</v>
      </c>
    </row>
    <row r="20" spans="1:55" ht="187" x14ac:dyDescent="0.2">
      <c r="A20" s="2" t="s">
        <v>200</v>
      </c>
      <c r="B20" s="2" t="s">
        <v>834</v>
      </c>
      <c r="C20" s="2" t="s">
        <v>459</v>
      </c>
      <c r="D20" s="2" t="s">
        <v>700</v>
      </c>
      <c r="E20" s="2" t="s">
        <v>750</v>
      </c>
      <c r="F20" s="2" t="s">
        <v>458</v>
      </c>
      <c r="G20" s="2" t="s">
        <v>758</v>
      </c>
      <c r="H20" s="2" t="s">
        <v>758</v>
      </c>
      <c r="I20" s="2" t="s">
        <v>758</v>
      </c>
      <c r="J20" s="2" t="s">
        <v>758</v>
      </c>
      <c r="K20" s="2" t="s">
        <v>758</v>
      </c>
      <c r="L20" s="2" t="s">
        <v>758</v>
      </c>
      <c r="M20" s="2" t="s">
        <v>758</v>
      </c>
      <c r="N20" s="2" t="s">
        <v>758</v>
      </c>
      <c r="O20" s="2" t="s">
        <v>758</v>
      </c>
      <c r="P20" s="2" t="s">
        <v>758</v>
      </c>
      <c r="Q20" s="2" t="s">
        <v>835</v>
      </c>
      <c r="R20" s="7" t="s">
        <v>505</v>
      </c>
      <c r="S20" s="2" t="s">
        <v>506</v>
      </c>
      <c r="T20" s="2" t="s">
        <v>458</v>
      </c>
      <c r="U20" s="2" t="s">
        <v>459</v>
      </c>
      <c r="V20" s="2" t="s">
        <v>201</v>
      </c>
      <c r="W20" s="2" t="s">
        <v>202</v>
      </c>
      <c r="X20" s="5">
        <f t="shared" si="0"/>
        <v>1</v>
      </c>
      <c r="Y20">
        <v>2018</v>
      </c>
      <c r="Z20">
        <v>25</v>
      </c>
      <c r="AA20">
        <v>2</v>
      </c>
      <c r="AC20" t="s">
        <v>31</v>
      </c>
      <c r="AD20">
        <v>144</v>
      </c>
      <c r="AE20">
        <v>147</v>
      </c>
      <c r="AG20" t="s">
        <v>203</v>
      </c>
      <c r="AH20" t="s">
        <v>204</v>
      </c>
      <c r="AI20" t="s">
        <v>205</v>
      </c>
      <c r="AJ20" t="s">
        <v>206</v>
      </c>
      <c r="AK20" s="1">
        <v>42491</v>
      </c>
      <c r="AL20">
        <v>2017</v>
      </c>
      <c r="AM20">
        <v>7</v>
      </c>
      <c r="AN20">
        <v>1</v>
      </c>
      <c r="AO20">
        <v>75</v>
      </c>
      <c r="AP20">
        <v>0</v>
      </c>
      <c r="AQ20">
        <v>0</v>
      </c>
      <c r="AR20">
        <v>0</v>
      </c>
      <c r="AS20">
        <v>0</v>
      </c>
      <c r="AT20">
        <v>0</v>
      </c>
      <c r="AU20">
        <v>0</v>
      </c>
      <c r="AV20">
        <v>0</v>
      </c>
      <c r="AW20">
        <v>0</v>
      </c>
      <c r="AX20">
        <v>0</v>
      </c>
      <c r="AY20">
        <v>0</v>
      </c>
      <c r="AZ20">
        <v>0</v>
      </c>
      <c r="BA20">
        <v>2</v>
      </c>
      <c r="BB20">
        <v>3</v>
      </c>
      <c r="BC20">
        <v>2</v>
      </c>
    </row>
    <row r="21" spans="1:55" ht="306" x14ac:dyDescent="0.2">
      <c r="A21" s="2" t="s">
        <v>207</v>
      </c>
      <c r="B21" s="2" t="s">
        <v>766</v>
      </c>
      <c r="C21" s="2" t="s">
        <v>459</v>
      </c>
      <c r="D21" s="2" t="s">
        <v>700</v>
      </c>
      <c r="E21" s="2" t="s">
        <v>750</v>
      </c>
      <c r="F21" s="2" t="s">
        <v>458</v>
      </c>
      <c r="G21" s="2" t="s">
        <v>836</v>
      </c>
      <c r="H21" s="2" t="s">
        <v>837</v>
      </c>
      <c r="I21" s="2" t="s">
        <v>459</v>
      </c>
      <c r="J21" s="2" t="s">
        <v>458</v>
      </c>
      <c r="K21" s="2" t="s">
        <v>459</v>
      </c>
      <c r="L21" s="2" t="s">
        <v>459</v>
      </c>
      <c r="M21" s="2" t="s">
        <v>459</v>
      </c>
      <c r="N21" s="2" t="s">
        <v>458</v>
      </c>
      <c r="O21" s="2" t="s">
        <v>839</v>
      </c>
      <c r="P21" s="2" t="s">
        <v>838</v>
      </c>
      <c r="R21" s="7" t="s">
        <v>507</v>
      </c>
      <c r="S21" s="2" t="s">
        <v>458</v>
      </c>
      <c r="T21" s="2" t="s">
        <v>459</v>
      </c>
      <c r="U21" s="2" t="s">
        <v>458</v>
      </c>
      <c r="V21" s="2" t="s">
        <v>208</v>
      </c>
      <c r="W21" s="2" t="s">
        <v>209</v>
      </c>
      <c r="X21" s="5">
        <f t="shared" si="0"/>
        <v>1</v>
      </c>
      <c r="Y21" t="s">
        <v>155</v>
      </c>
      <c r="Z21">
        <v>2017</v>
      </c>
      <c r="AA21">
        <v>162</v>
      </c>
      <c r="AB21">
        <v>1</v>
      </c>
      <c r="AE21">
        <v>174</v>
      </c>
      <c r="AF21">
        <v>181</v>
      </c>
      <c r="AH21" t="s">
        <v>210</v>
      </c>
      <c r="AK21">
        <v>7</v>
      </c>
      <c r="AL21">
        <v>1</v>
      </c>
      <c r="AM21">
        <v>4</v>
      </c>
      <c r="AN21">
        <v>0</v>
      </c>
      <c r="AO21">
        <v>0</v>
      </c>
      <c r="AP21">
        <v>0</v>
      </c>
      <c r="AQ21">
        <v>0</v>
      </c>
      <c r="AR21">
        <v>0</v>
      </c>
      <c r="AS21">
        <v>0</v>
      </c>
      <c r="AT21">
        <v>0</v>
      </c>
      <c r="AU21">
        <v>0</v>
      </c>
      <c r="AV21">
        <v>0</v>
      </c>
      <c r="AW21">
        <v>0</v>
      </c>
      <c r="AX21">
        <v>3</v>
      </c>
      <c r="AY21">
        <v>2</v>
      </c>
      <c r="AZ21">
        <v>1</v>
      </c>
      <c r="BA21">
        <v>1</v>
      </c>
    </row>
    <row r="22" spans="1:55" ht="238" x14ac:dyDescent="0.2">
      <c r="A22" s="2" t="s">
        <v>215</v>
      </c>
      <c r="B22" s="2" t="s">
        <v>840</v>
      </c>
      <c r="C22" s="2" t="s">
        <v>459</v>
      </c>
      <c r="D22" s="2" t="s">
        <v>700</v>
      </c>
      <c r="E22" s="2" t="s">
        <v>842</v>
      </c>
      <c r="F22" s="2" t="s">
        <v>458</v>
      </c>
      <c r="G22" s="2" t="s">
        <v>841</v>
      </c>
      <c r="H22" s="2" t="s">
        <v>843</v>
      </c>
      <c r="I22" s="2" t="s">
        <v>459</v>
      </c>
      <c r="J22" s="2" t="s">
        <v>458</v>
      </c>
      <c r="K22" s="2" t="s">
        <v>459</v>
      </c>
      <c r="L22" s="2" t="s">
        <v>459</v>
      </c>
      <c r="M22" s="2" t="s">
        <v>459</v>
      </c>
      <c r="N22" s="2" t="s">
        <v>458</v>
      </c>
      <c r="O22" s="2" t="s">
        <v>758</v>
      </c>
      <c r="P22" s="2" t="s">
        <v>844</v>
      </c>
      <c r="R22" s="7" t="s">
        <v>508</v>
      </c>
      <c r="V22" s="2" t="s">
        <v>216</v>
      </c>
      <c r="W22" s="2" t="s">
        <v>217</v>
      </c>
      <c r="X22" s="5">
        <f t="shared" si="0"/>
        <v>1</v>
      </c>
      <c r="Y22">
        <v>2016</v>
      </c>
      <c r="Z22">
        <v>8</v>
      </c>
      <c r="AA22">
        <v>1</v>
      </c>
      <c r="AF22" t="s">
        <v>218</v>
      </c>
      <c r="AG22" t="s">
        <v>219</v>
      </c>
      <c r="AJ22">
        <v>7</v>
      </c>
      <c r="AK22">
        <v>1</v>
      </c>
      <c r="AL22">
        <v>17</v>
      </c>
      <c r="AM22">
        <v>0</v>
      </c>
      <c r="AN22">
        <v>0</v>
      </c>
      <c r="AO22">
        <v>0</v>
      </c>
      <c r="AP22">
        <v>0</v>
      </c>
      <c r="AQ22">
        <v>0</v>
      </c>
      <c r="AR22">
        <v>0</v>
      </c>
      <c r="AS22">
        <v>0</v>
      </c>
      <c r="AT22">
        <v>0</v>
      </c>
      <c r="AU22">
        <v>0</v>
      </c>
      <c r="AV22">
        <v>1</v>
      </c>
      <c r="AW22">
        <v>3</v>
      </c>
      <c r="AX22">
        <v>1</v>
      </c>
      <c r="AY22">
        <v>2</v>
      </c>
      <c r="AZ22">
        <v>0</v>
      </c>
    </row>
    <row r="23" spans="1:55" ht="272" x14ac:dyDescent="0.2">
      <c r="A23" s="2" t="s">
        <v>230</v>
      </c>
      <c r="B23" s="2" t="s">
        <v>846</v>
      </c>
      <c r="C23" s="2" t="s">
        <v>459</v>
      </c>
      <c r="D23" s="2" t="s">
        <v>700</v>
      </c>
      <c r="E23" s="2" t="s">
        <v>820</v>
      </c>
      <c r="F23" s="2" t="s">
        <v>458</v>
      </c>
      <c r="G23" s="2" t="s">
        <v>848</v>
      </c>
      <c r="H23" s="2" t="s">
        <v>847</v>
      </c>
      <c r="I23" s="2" t="s">
        <v>459</v>
      </c>
      <c r="J23" s="2" t="s">
        <v>458</v>
      </c>
      <c r="K23" s="2" t="s">
        <v>459</v>
      </c>
      <c r="L23" s="2" t="s">
        <v>459</v>
      </c>
      <c r="M23" s="2" t="s">
        <v>459</v>
      </c>
      <c r="N23" s="2" t="s">
        <v>459</v>
      </c>
      <c r="O23" s="2" t="s">
        <v>758</v>
      </c>
      <c r="P23" s="2" t="s">
        <v>849</v>
      </c>
      <c r="R23" s="7" t="s">
        <v>556</v>
      </c>
      <c r="S23" s="2" t="s">
        <v>458</v>
      </c>
      <c r="T23" s="2" t="s">
        <v>459</v>
      </c>
      <c r="U23" s="2" t="s">
        <v>458</v>
      </c>
      <c r="V23" s="2" t="s">
        <v>231</v>
      </c>
      <c r="W23" s="2" t="s">
        <v>45</v>
      </c>
      <c r="X23" s="5">
        <f t="shared" si="0"/>
        <v>4</v>
      </c>
      <c r="Y23">
        <v>2018</v>
      </c>
      <c r="Z23">
        <v>75</v>
      </c>
      <c r="AA23">
        <v>4</v>
      </c>
      <c r="AD23">
        <v>978</v>
      </c>
      <c r="AE23">
        <v>983</v>
      </c>
      <c r="AG23" t="s">
        <v>232</v>
      </c>
      <c r="AJ23">
        <v>6</v>
      </c>
      <c r="AK23">
        <v>1</v>
      </c>
      <c r="AL23">
        <v>5</v>
      </c>
      <c r="AM23">
        <v>0</v>
      </c>
      <c r="AN23">
        <v>0</v>
      </c>
      <c r="AO23">
        <v>0</v>
      </c>
      <c r="AP23">
        <v>0</v>
      </c>
      <c r="AQ23">
        <v>0</v>
      </c>
      <c r="AR23">
        <v>0</v>
      </c>
      <c r="AS23">
        <v>0</v>
      </c>
      <c r="AT23">
        <v>0</v>
      </c>
      <c r="AU23">
        <v>0</v>
      </c>
      <c r="AV23">
        <v>0</v>
      </c>
      <c r="AW23">
        <v>0</v>
      </c>
      <c r="AX23">
        <v>4</v>
      </c>
      <c r="AY23">
        <v>0</v>
      </c>
      <c r="AZ23">
        <v>2</v>
      </c>
    </row>
    <row r="24" spans="1:55" ht="255" x14ac:dyDescent="0.2">
      <c r="A24" s="2" t="s">
        <v>240</v>
      </c>
      <c r="B24" s="2" t="s">
        <v>766</v>
      </c>
      <c r="C24" s="2" t="s">
        <v>459</v>
      </c>
      <c r="D24" s="2" t="s">
        <v>700</v>
      </c>
      <c r="E24" s="2" t="s">
        <v>852</v>
      </c>
      <c r="F24" s="2" t="s">
        <v>852</v>
      </c>
      <c r="G24" s="2" t="s">
        <v>853</v>
      </c>
      <c r="H24" s="2" t="s">
        <v>851</v>
      </c>
      <c r="I24" s="2" t="s">
        <v>459</v>
      </c>
      <c r="J24" s="2" t="s">
        <v>458</v>
      </c>
      <c r="K24" s="2" t="s">
        <v>459</v>
      </c>
      <c r="L24" s="2" t="s">
        <v>459</v>
      </c>
      <c r="M24" s="2" t="s">
        <v>459</v>
      </c>
      <c r="N24" s="2" t="s">
        <v>458</v>
      </c>
      <c r="O24" s="2" t="s">
        <v>758</v>
      </c>
      <c r="P24" s="2" t="s">
        <v>850</v>
      </c>
      <c r="R24" s="7" t="s">
        <v>559</v>
      </c>
      <c r="V24" s="2" t="s">
        <v>241</v>
      </c>
      <c r="W24" s="2" t="s">
        <v>242</v>
      </c>
      <c r="X24" s="5">
        <f t="shared" si="0"/>
        <v>1</v>
      </c>
      <c r="Y24">
        <v>2016</v>
      </c>
      <c r="Z24">
        <v>82</v>
      </c>
      <c r="AA24">
        <v>3</v>
      </c>
      <c r="AD24">
        <v>212</v>
      </c>
      <c r="AE24">
        <v>215</v>
      </c>
      <c r="AJ24">
        <v>6</v>
      </c>
      <c r="AK24">
        <v>1</v>
      </c>
      <c r="AL24">
        <v>0</v>
      </c>
      <c r="AM24">
        <v>0</v>
      </c>
      <c r="AN24">
        <v>0</v>
      </c>
      <c r="AO24">
        <v>0</v>
      </c>
      <c r="AP24">
        <v>0</v>
      </c>
      <c r="AQ24">
        <v>0</v>
      </c>
      <c r="AR24">
        <v>0</v>
      </c>
      <c r="AS24">
        <v>0</v>
      </c>
      <c r="AT24">
        <v>0</v>
      </c>
      <c r="AU24">
        <v>2</v>
      </c>
      <c r="AV24">
        <v>0</v>
      </c>
      <c r="AW24">
        <v>2</v>
      </c>
      <c r="AX24">
        <v>2</v>
      </c>
      <c r="AY24">
        <v>0</v>
      </c>
    </row>
    <row r="25" spans="1:55" ht="102" x14ac:dyDescent="0.2">
      <c r="A25" s="2" t="s">
        <v>261</v>
      </c>
      <c r="B25" s="2" t="s">
        <v>766</v>
      </c>
      <c r="C25" s="2" t="s">
        <v>459</v>
      </c>
      <c r="D25" s="2" t="s">
        <v>700</v>
      </c>
      <c r="E25" s="2" t="s">
        <v>855</v>
      </c>
      <c r="F25" s="2" t="s">
        <v>458</v>
      </c>
      <c r="G25" s="2" t="s">
        <v>856</v>
      </c>
      <c r="H25" s="2" t="s">
        <v>854</v>
      </c>
      <c r="I25" s="2" t="s">
        <v>459</v>
      </c>
      <c r="J25" s="2" t="s">
        <v>458</v>
      </c>
      <c r="K25" s="2" t="s">
        <v>459</v>
      </c>
      <c r="L25" s="2" t="s">
        <v>459</v>
      </c>
      <c r="M25" s="2" t="s">
        <v>459</v>
      </c>
      <c r="N25" s="2" t="s">
        <v>458</v>
      </c>
      <c r="O25" s="2" t="s">
        <v>758</v>
      </c>
      <c r="P25" s="2" t="s">
        <v>857</v>
      </c>
      <c r="Q25" s="35" t="s">
        <v>858</v>
      </c>
      <c r="R25" s="7" t="s">
        <v>567</v>
      </c>
      <c r="S25" s="2" t="s">
        <v>566</v>
      </c>
      <c r="T25" s="2" t="s">
        <v>458</v>
      </c>
      <c r="U25" s="2" t="s">
        <v>459</v>
      </c>
      <c r="V25" s="2" t="s">
        <v>262</v>
      </c>
      <c r="W25" s="2" t="s">
        <v>263</v>
      </c>
      <c r="X25" s="5">
        <f t="shared" si="0"/>
        <v>1</v>
      </c>
      <c r="Y25">
        <v>2017</v>
      </c>
      <c r="Z25">
        <v>8</v>
      </c>
      <c r="AD25">
        <v>481</v>
      </c>
      <c r="AE25">
        <v>486</v>
      </c>
      <c r="AG25" t="s">
        <v>264</v>
      </c>
      <c r="AJ25">
        <v>5</v>
      </c>
      <c r="AK25">
        <v>1</v>
      </c>
      <c r="AL25">
        <v>0</v>
      </c>
      <c r="AM25">
        <v>0</v>
      </c>
      <c r="AN25">
        <v>0</v>
      </c>
      <c r="AO25">
        <v>0</v>
      </c>
      <c r="AP25">
        <v>0</v>
      </c>
      <c r="AQ25">
        <v>0</v>
      </c>
      <c r="AR25">
        <v>0</v>
      </c>
      <c r="AS25">
        <v>0</v>
      </c>
      <c r="AT25">
        <v>0</v>
      </c>
      <c r="AU25">
        <v>1</v>
      </c>
      <c r="AV25">
        <v>1</v>
      </c>
      <c r="AW25">
        <v>1</v>
      </c>
      <c r="AX25">
        <v>2</v>
      </c>
      <c r="AY25">
        <v>0</v>
      </c>
    </row>
    <row r="26" spans="1:55" ht="187" x14ac:dyDescent="0.2">
      <c r="A26" s="2" t="s">
        <v>273</v>
      </c>
      <c r="B26" s="2" t="s">
        <v>860</v>
      </c>
      <c r="C26" s="2" t="s">
        <v>459</v>
      </c>
      <c r="D26" s="2" t="s">
        <v>711</v>
      </c>
      <c r="E26" s="2" t="s">
        <v>772</v>
      </c>
      <c r="F26" s="2" t="s">
        <v>459</v>
      </c>
      <c r="G26" s="2" t="s">
        <v>758</v>
      </c>
      <c r="H26" s="2" t="s">
        <v>758</v>
      </c>
      <c r="I26" s="2" t="s">
        <v>758</v>
      </c>
      <c r="J26" s="2" t="s">
        <v>758</v>
      </c>
      <c r="K26" s="2" t="s">
        <v>758</v>
      </c>
      <c r="L26" s="2" t="s">
        <v>758</v>
      </c>
      <c r="M26" s="2" t="s">
        <v>758</v>
      </c>
      <c r="N26" s="2" t="s">
        <v>758</v>
      </c>
      <c r="O26" s="2" t="s">
        <v>758</v>
      </c>
      <c r="P26" s="2" t="s">
        <v>758</v>
      </c>
      <c r="Q26" s="2" t="s">
        <v>861</v>
      </c>
      <c r="R26" s="18" t="s">
        <v>591</v>
      </c>
      <c r="V26" s="2" t="s">
        <v>274</v>
      </c>
      <c r="W26" s="2" t="s">
        <v>275</v>
      </c>
      <c r="X26" s="5">
        <f t="shared" si="0"/>
        <v>1</v>
      </c>
      <c r="Y26">
        <v>2011</v>
      </c>
      <c r="Z26">
        <v>163</v>
      </c>
      <c r="AD26">
        <v>650</v>
      </c>
      <c r="AE26">
        <v>652</v>
      </c>
      <c r="AG26" t="s">
        <v>276</v>
      </c>
      <c r="AH26" t="s">
        <v>277</v>
      </c>
      <c r="AI26" t="s">
        <v>278</v>
      </c>
      <c r="AJ26">
        <v>2011</v>
      </c>
      <c r="AK26">
        <v>5</v>
      </c>
      <c r="AL26">
        <v>0</v>
      </c>
      <c r="AM26">
        <v>45</v>
      </c>
      <c r="AN26">
        <v>0</v>
      </c>
      <c r="AO26">
        <v>0</v>
      </c>
      <c r="AP26">
        <v>0</v>
      </c>
      <c r="AQ26">
        <v>1</v>
      </c>
      <c r="AR26">
        <v>2</v>
      </c>
      <c r="AS26">
        <v>1</v>
      </c>
      <c r="AT26">
        <v>0</v>
      </c>
      <c r="AU26">
        <v>1</v>
      </c>
      <c r="AV26">
        <v>0</v>
      </c>
      <c r="AW26">
        <v>0</v>
      </c>
      <c r="AX26">
        <v>0</v>
      </c>
      <c r="AY26">
        <v>0</v>
      </c>
      <c r="AZ26">
        <v>0</v>
      </c>
      <c r="BA26">
        <v>0</v>
      </c>
    </row>
    <row r="27" spans="1:55" s="12" customFormat="1" ht="270" customHeight="1" x14ac:dyDescent="0.2">
      <c r="A27" s="10" t="s">
        <v>282</v>
      </c>
      <c r="B27" s="10" t="s">
        <v>863</v>
      </c>
      <c r="C27" s="10" t="s">
        <v>458</v>
      </c>
      <c r="D27" s="10"/>
      <c r="E27" s="10" t="s">
        <v>862</v>
      </c>
      <c r="F27" s="10" t="s">
        <v>459</v>
      </c>
      <c r="G27" s="10" t="s">
        <v>865</v>
      </c>
      <c r="H27" s="10" t="s">
        <v>864</v>
      </c>
      <c r="I27" s="10" t="s">
        <v>459</v>
      </c>
      <c r="J27" s="10" t="s">
        <v>459</v>
      </c>
      <c r="K27" s="10" t="s">
        <v>458</v>
      </c>
      <c r="L27" s="10" t="s">
        <v>459</v>
      </c>
      <c r="M27" s="10" t="s">
        <v>459</v>
      </c>
      <c r="N27" s="10" t="s">
        <v>458</v>
      </c>
      <c r="O27" s="10" t="s">
        <v>758</v>
      </c>
      <c r="P27" s="10" t="s">
        <v>867</v>
      </c>
      <c r="Q27" s="10" t="s">
        <v>866</v>
      </c>
      <c r="R27" s="11" t="s">
        <v>572</v>
      </c>
      <c r="S27" s="10" t="s">
        <v>458</v>
      </c>
      <c r="T27" s="10" t="s">
        <v>458</v>
      </c>
      <c r="U27" s="10" t="s">
        <v>459</v>
      </c>
      <c r="V27" s="10" t="s">
        <v>283</v>
      </c>
      <c r="W27" s="10" t="s">
        <v>573</v>
      </c>
      <c r="X27" s="5">
        <f t="shared" si="0"/>
        <v>1</v>
      </c>
      <c r="Y27" s="12">
        <v>2018</v>
      </c>
      <c r="Z27" s="12">
        <v>75</v>
      </c>
      <c r="AA27" s="12">
        <v>3</v>
      </c>
      <c r="AD27" s="12">
        <v>779</v>
      </c>
      <c r="AE27" s="12">
        <v>786</v>
      </c>
      <c r="AG27" s="12" t="s">
        <v>284</v>
      </c>
      <c r="AJ27" s="12">
        <v>4</v>
      </c>
      <c r="AK27" s="12">
        <v>1</v>
      </c>
      <c r="AL27" s="12">
        <v>0</v>
      </c>
      <c r="AM27" s="12">
        <v>0</v>
      </c>
      <c r="AN27" s="12">
        <v>0</v>
      </c>
      <c r="AO27" s="12">
        <v>0</v>
      </c>
      <c r="AP27" s="12">
        <v>0</v>
      </c>
      <c r="AQ27" s="12">
        <v>0</v>
      </c>
      <c r="AR27" s="12">
        <v>0</v>
      </c>
      <c r="AS27" s="12">
        <v>0</v>
      </c>
      <c r="AT27" s="12">
        <v>0</v>
      </c>
      <c r="AU27" s="12">
        <v>0</v>
      </c>
      <c r="AV27" s="12">
        <v>0</v>
      </c>
      <c r="AW27" s="12">
        <v>4</v>
      </c>
      <c r="AX27" s="12">
        <v>0</v>
      </c>
      <c r="AY27" s="12">
        <v>0</v>
      </c>
    </row>
    <row r="28" spans="1:55" ht="288" customHeight="1" x14ac:dyDescent="0.2">
      <c r="A28" s="2" t="s">
        <v>578</v>
      </c>
      <c r="B28" s="2" t="s">
        <v>873</v>
      </c>
      <c r="C28" s="2" t="s">
        <v>458</v>
      </c>
      <c r="D28" s="2" t="s">
        <v>700</v>
      </c>
      <c r="E28" s="2" t="s">
        <v>782</v>
      </c>
      <c r="F28" s="2" t="s">
        <v>458</v>
      </c>
      <c r="G28" s="2" t="s">
        <v>871</v>
      </c>
      <c r="H28" s="2" t="s">
        <v>948</v>
      </c>
      <c r="I28" s="2" t="s">
        <v>459</v>
      </c>
      <c r="J28" s="2" t="s">
        <v>458</v>
      </c>
      <c r="K28" s="2" t="s">
        <v>459</v>
      </c>
      <c r="L28" s="2" t="s">
        <v>459</v>
      </c>
      <c r="M28" s="2" t="s">
        <v>459</v>
      </c>
      <c r="N28" s="2" t="s">
        <v>458</v>
      </c>
      <c r="O28" s="2" t="s">
        <v>758</v>
      </c>
      <c r="P28" s="2" t="s">
        <v>874</v>
      </c>
      <c r="R28" s="7" t="s">
        <v>579</v>
      </c>
      <c r="S28" s="2" t="s">
        <v>458</v>
      </c>
      <c r="T28" s="2" t="s">
        <v>458</v>
      </c>
      <c r="U28" s="2" t="s">
        <v>459</v>
      </c>
      <c r="V28" s="2" t="s">
        <v>299</v>
      </c>
      <c r="W28" s="2" t="s">
        <v>300</v>
      </c>
      <c r="X28" s="5">
        <f t="shared" si="0"/>
        <v>1</v>
      </c>
      <c r="Y28" t="s">
        <v>301</v>
      </c>
      <c r="Z28">
        <v>2015</v>
      </c>
      <c r="AA28">
        <v>34</v>
      </c>
      <c r="AB28">
        <v>6</v>
      </c>
      <c r="AE28">
        <v>339</v>
      </c>
      <c r="AF28">
        <v>344</v>
      </c>
      <c r="AH28" t="s">
        <v>302</v>
      </c>
      <c r="AK28">
        <v>3</v>
      </c>
      <c r="AL28">
        <v>0</v>
      </c>
      <c r="AM28">
        <v>43</v>
      </c>
      <c r="AN28">
        <v>0</v>
      </c>
      <c r="AO28">
        <v>0</v>
      </c>
      <c r="AP28">
        <v>0</v>
      </c>
      <c r="AQ28">
        <v>0</v>
      </c>
      <c r="AR28">
        <v>0</v>
      </c>
      <c r="AS28">
        <v>0</v>
      </c>
      <c r="AT28">
        <v>0</v>
      </c>
      <c r="AU28">
        <v>0</v>
      </c>
      <c r="AV28">
        <v>0</v>
      </c>
      <c r="AW28">
        <v>1</v>
      </c>
      <c r="AX28">
        <v>0</v>
      </c>
      <c r="AY28">
        <v>0</v>
      </c>
      <c r="AZ28">
        <v>2</v>
      </c>
      <c r="BA28">
        <v>0</v>
      </c>
    </row>
    <row r="29" spans="1:55" ht="238" x14ac:dyDescent="0.2">
      <c r="A29" s="2" t="s">
        <v>311</v>
      </c>
      <c r="B29" s="2" t="s">
        <v>840</v>
      </c>
      <c r="C29" s="2" t="s">
        <v>459</v>
      </c>
      <c r="D29" s="2" t="s">
        <v>700</v>
      </c>
      <c r="E29" s="2" t="s">
        <v>878</v>
      </c>
      <c r="F29" s="2" t="s">
        <v>852</v>
      </c>
      <c r="G29" s="2" t="s">
        <v>876</v>
      </c>
      <c r="H29" s="2" t="s">
        <v>875</v>
      </c>
      <c r="I29" s="2" t="s">
        <v>459</v>
      </c>
      <c r="J29" s="2" t="s">
        <v>459</v>
      </c>
      <c r="K29" s="2" t="s">
        <v>459</v>
      </c>
      <c r="L29" s="2" t="s">
        <v>458</v>
      </c>
      <c r="M29" s="2" t="s">
        <v>459</v>
      </c>
      <c r="N29" s="2" t="s">
        <v>458</v>
      </c>
      <c r="O29" s="2" t="s">
        <v>758</v>
      </c>
      <c r="P29" s="2" t="s">
        <v>877</v>
      </c>
      <c r="R29" s="7" t="s">
        <v>582</v>
      </c>
      <c r="S29" s="2" t="s">
        <v>458</v>
      </c>
      <c r="T29" s="2" t="s">
        <v>458</v>
      </c>
      <c r="U29" s="2" t="s">
        <v>459</v>
      </c>
      <c r="V29" s="2" t="s">
        <v>312</v>
      </c>
      <c r="W29" s="2" t="s">
        <v>313</v>
      </c>
      <c r="X29" s="5">
        <f t="shared" si="0"/>
        <v>1</v>
      </c>
      <c r="Y29">
        <v>2016</v>
      </c>
      <c r="Z29">
        <v>54</v>
      </c>
      <c r="AA29">
        <v>9</v>
      </c>
      <c r="AD29">
        <v>600</v>
      </c>
      <c r="AE29">
        <v>604</v>
      </c>
      <c r="AJ29">
        <v>2</v>
      </c>
      <c r="AK29">
        <v>0</v>
      </c>
      <c r="AL29">
        <v>33</v>
      </c>
      <c r="AM29">
        <v>0</v>
      </c>
      <c r="AN29">
        <v>0</v>
      </c>
      <c r="AO29">
        <v>0</v>
      </c>
      <c r="AP29">
        <v>0</v>
      </c>
      <c r="AQ29">
        <v>0</v>
      </c>
      <c r="AR29">
        <v>0</v>
      </c>
      <c r="AS29">
        <v>0</v>
      </c>
      <c r="AT29">
        <v>0</v>
      </c>
      <c r="AU29">
        <v>0</v>
      </c>
      <c r="AV29">
        <v>0</v>
      </c>
      <c r="AW29">
        <v>0</v>
      </c>
      <c r="AX29">
        <v>2</v>
      </c>
      <c r="AY29">
        <v>0</v>
      </c>
      <c r="AZ29">
        <v>0</v>
      </c>
    </row>
    <row r="30" spans="1:55" s="12" customFormat="1" ht="255" x14ac:dyDescent="0.2">
      <c r="A30" s="10" t="s">
        <v>332</v>
      </c>
      <c r="B30" s="10" t="s">
        <v>766</v>
      </c>
      <c r="C30" s="10" t="s">
        <v>459</v>
      </c>
      <c r="D30" s="10" t="s">
        <v>700</v>
      </c>
      <c r="E30" s="10" t="s">
        <v>852</v>
      </c>
      <c r="F30" s="10"/>
      <c r="G30" s="10" t="s">
        <v>881</v>
      </c>
      <c r="H30" s="10" t="s">
        <v>949</v>
      </c>
      <c r="I30" s="10" t="s">
        <v>882</v>
      </c>
      <c r="J30" s="10" t="s">
        <v>758</v>
      </c>
      <c r="K30" s="10" t="s">
        <v>758</v>
      </c>
      <c r="L30" s="10" t="s">
        <v>758</v>
      </c>
      <c r="M30" s="10" t="s">
        <v>758</v>
      </c>
      <c r="N30" s="10" t="s">
        <v>458</v>
      </c>
      <c r="O30" s="10" t="s">
        <v>758</v>
      </c>
      <c r="P30" s="10" t="s">
        <v>880</v>
      </c>
      <c r="Q30" s="10"/>
      <c r="R30" s="11" t="s">
        <v>587</v>
      </c>
      <c r="S30" s="10" t="s">
        <v>458</v>
      </c>
      <c r="T30" s="10" t="s">
        <v>458</v>
      </c>
      <c r="U30" s="10" t="s">
        <v>459</v>
      </c>
      <c r="V30" s="10" t="s">
        <v>333</v>
      </c>
      <c r="W30" s="10" t="s">
        <v>81</v>
      </c>
      <c r="X30" s="5">
        <f t="shared" si="0"/>
        <v>1</v>
      </c>
      <c r="Y30" s="12">
        <v>2020</v>
      </c>
      <c r="Z30" s="12">
        <v>88</v>
      </c>
      <c r="AA30" s="12">
        <v>2</v>
      </c>
      <c r="AD30" s="12">
        <v>242</v>
      </c>
      <c r="AE30" s="12">
        <v>246</v>
      </c>
      <c r="AG30" s="12" t="s">
        <v>334</v>
      </c>
      <c r="AH30" s="12" t="s">
        <v>335</v>
      </c>
      <c r="AI30" s="12" t="s">
        <v>336</v>
      </c>
      <c r="AJ30" s="12">
        <v>2019</v>
      </c>
      <c r="AK30" s="12">
        <v>1</v>
      </c>
      <c r="AL30" s="12">
        <v>0</v>
      </c>
      <c r="AM30" s="12">
        <v>5</v>
      </c>
      <c r="AN30" s="12">
        <v>0</v>
      </c>
      <c r="AO30" s="12">
        <v>0</v>
      </c>
      <c r="AP30" s="12">
        <v>0</v>
      </c>
      <c r="AQ30" s="12">
        <v>0</v>
      </c>
      <c r="AR30" s="12">
        <v>0</v>
      </c>
      <c r="AS30" s="12">
        <v>0</v>
      </c>
      <c r="AT30" s="12">
        <v>0</v>
      </c>
      <c r="AU30" s="12">
        <v>0</v>
      </c>
      <c r="AV30" s="12">
        <v>0</v>
      </c>
      <c r="AW30" s="12">
        <v>0</v>
      </c>
      <c r="AX30" s="12">
        <v>0</v>
      </c>
      <c r="AY30" s="12">
        <v>0</v>
      </c>
      <c r="AZ30" s="12">
        <v>1</v>
      </c>
      <c r="BA30" s="12">
        <v>0</v>
      </c>
    </row>
    <row r="31" spans="1:55" ht="238" x14ac:dyDescent="0.2">
      <c r="A31" s="2" t="s">
        <v>357</v>
      </c>
      <c r="B31" s="2" t="s">
        <v>754</v>
      </c>
      <c r="C31" s="2" t="s">
        <v>459</v>
      </c>
      <c r="D31" s="2" t="s">
        <v>700</v>
      </c>
      <c r="E31" s="2" t="s">
        <v>883</v>
      </c>
      <c r="F31" s="2" t="s">
        <v>459</v>
      </c>
      <c r="G31" s="2" t="s">
        <v>884</v>
      </c>
      <c r="H31" s="2" t="s">
        <v>886</v>
      </c>
      <c r="I31" s="2" t="s">
        <v>885</v>
      </c>
      <c r="J31" s="2" t="s">
        <v>459</v>
      </c>
      <c r="K31" s="2" t="s">
        <v>459</v>
      </c>
      <c r="L31" s="2" t="s">
        <v>458</v>
      </c>
      <c r="M31" s="2" t="s">
        <v>459</v>
      </c>
      <c r="N31" s="2" t="s">
        <v>885</v>
      </c>
      <c r="O31" s="2" t="s">
        <v>758</v>
      </c>
      <c r="P31" s="2" t="s">
        <v>887</v>
      </c>
      <c r="R31" s="7" t="s">
        <v>593</v>
      </c>
      <c r="S31" s="2" t="s">
        <v>458</v>
      </c>
      <c r="T31" s="2" t="s">
        <v>458</v>
      </c>
      <c r="U31" s="2" t="s">
        <v>458</v>
      </c>
      <c r="V31" s="2" t="s">
        <v>358</v>
      </c>
      <c r="W31" s="2" t="s">
        <v>45</v>
      </c>
      <c r="X31" s="5">
        <f t="shared" si="0"/>
        <v>4</v>
      </c>
      <c r="Y31">
        <v>2016</v>
      </c>
      <c r="Z31">
        <v>73</v>
      </c>
      <c r="AA31">
        <v>4</v>
      </c>
      <c r="AD31">
        <v>648</v>
      </c>
      <c r="AE31">
        <v>654</v>
      </c>
      <c r="AJ31">
        <v>1</v>
      </c>
      <c r="AK31">
        <v>0</v>
      </c>
      <c r="AL31">
        <v>17</v>
      </c>
      <c r="AM31">
        <v>0</v>
      </c>
      <c r="AN31">
        <v>0</v>
      </c>
      <c r="AO31">
        <v>0</v>
      </c>
      <c r="AP31">
        <v>0</v>
      </c>
      <c r="AQ31">
        <v>0</v>
      </c>
      <c r="AR31">
        <v>0</v>
      </c>
      <c r="AS31">
        <v>0</v>
      </c>
      <c r="AT31">
        <v>0</v>
      </c>
      <c r="AU31">
        <v>0</v>
      </c>
      <c r="AV31">
        <v>0</v>
      </c>
      <c r="AW31">
        <v>1</v>
      </c>
      <c r="AX31">
        <v>0</v>
      </c>
      <c r="AY31">
        <v>0</v>
      </c>
      <c r="AZ31">
        <v>0</v>
      </c>
    </row>
    <row r="32" spans="1:55" ht="153" x14ac:dyDescent="0.2">
      <c r="A32" s="2" t="s">
        <v>367</v>
      </c>
      <c r="B32" s="2" t="s">
        <v>754</v>
      </c>
      <c r="C32" s="2" t="s">
        <v>459</v>
      </c>
      <c r="D32" s="2" t="s">
        <v>700</v>
      </c>
      <c r="E32" s="2" t="s">
        <v>888</v>
      </c>
      <c r="F32" s="2" t="s">
        <v>459</v>
      </c>
      <c r="G32" s="2" t="s">
        <v>889</v>
      </c>
      <c r="H32" s="2" t="s">
        <v>890</v>
      </c>
      <c r="I32" s="2" t="s">
        <v>459</v>
      </c>
      <c r="J32" s="2" t="s">
        <v>458</v>
      </c>
      <c r="K32" s="2" t="s">
        <v>459</v>
      </c>
      <c r="L32" s="2" t="s">
        <v>459</v>
      </c>
      <c r="M32" s="2" t="s">
        <v>459</v>
      </c>
      <c r="N32" s="2" t="s">
        <v>458</v>
      </c>
      <c r="O32" s="2" t="s">
        <v>758</v>
      </c>
      <c r="P32" s="2" t="s">
        <v>891</v>
      </c>
      <c r="R32" s="7" t="s">
        <v>595</v>
      </c>
      <c r="S32" s="2" t="s">
        <v>458</v>
      </c>
      <c r="T32" s="2" t="s">
        <v>458</v>
      </c>
      <c r="U32" s="2" t="s">
        <v>459</v>
      </c>
      <c r="V32" s="2" t="s">
        <v>368</v>
      </c>
      <c r="W32" s="2" t="s">
        <v>109</v>
      </c>
      <c r="X32" s="5">
        <f t="shared" si="0"/>
        <v>1</v>
      </c>
      <c r="Y32">
        <v>2020</v>
      </c>
      <c r="Z32">
        <v>231</v>
      </c>
      <c r="AA32">
        <v>4</v>
      </c>
      <c r="AB32">
        <v>1</v>
      </c>
      <c r="AD32" t="s">
        <v>369</v>
      </c>
      <c r="AE32" t="s">
        <v>369</v>
      </c>
      <c r="AH32" t="s">
        <v>370</v>
      </c>
      <c r="AI32" t="s">
        <v>371</v>
      </c>
      <c r="AJ32">
        <v>2020</v>
      </c>
      <c r="AK32">
        <v>0</v>
      </c>
      <c r="AL32">
        <v>0</v>
      </c>
      <c r="AM32">
        <v>0</v>
      </c>
      <c r="AN32">
        <v>0</v>
      </c>
      <c r="AO32">
        <v>0</v>
      </c>
      <c r="AP32">
        <v>0</v>
      </c>
      <c r="AQ32">
        <v>0</v>
      </c>
      <c r="AR32">
        <v>0</v>
      </c>
      <c r="AS32">
        <v>0</v>
      </c>
      <c r="AT32">
        <v>0</v>
      </c>
      <c r="AU32">
        <v>0</v>
      </c>
      <c r="AV32">
        <v>0</v>
      </c>
      <c r="AW32">
        <v>0</v>
      </c>
      <c r="AX32">
        <v>0</v>
      </c>
      <c r="AY32">
        <v>0</v>
      </c>
      <c r="AZ32">
        <v>0</v>
      </c>
    </row>
    <row r="33" spans="1:161" ht="272" x14ac:dyDescent="0.2">
      <c r="A33" s="2" t="s">
        <v>396</v>
      </c>
      <c r="B33" s="2" t="s">
        <v>699</v>
      </c>
      <c r="C33" s="2" t="s">
        <v>458</v>
      </c>
      <c r="D33" s="2" t="s">
        <v>700</v>
      </c>
      <c r="E33" s="2" t="s">
        <v>897</v>
      </c>
      <c r="F33" s="2" t="s">
        <v>458</v>
      </c>
      <c r="G33" s="2" t="s">
        <v>896</v>
      </c>
      <c r="H33" s="2" t="s">
        <v>898</v>
      </c>
      <c r="I33" s="2" t="s">
        <v>459</v>
      </c>
      <c r="J33" s="2" t="s">
        <v>459</v>
      </c>
      <c r="K33" s="2" t="s">
        <v>459</v>
      </c>
      <c r="L33" s="2" t="s">
        <v>458</v>
      </c>
      <c r="M33" s="2" t="s">
        <v>459</v>
      </c>
      <c r="N33" s="2" t="s">
        <v>458</v>
      </c>
      <c r="O33" s="2" t="s">
        <v>758</v>
      </c>
      <c r="P33" s="2" t="s">
        <v>899</v>
      </c>
      <c r="Q33" s="2" t="s">
        <v>900</v>
      </c>
      <c r="R33" s="7" t="s">
        <v>605</v>
      </c>
      <c r="S33" s="2" t="s">
        <v>606</v>
      </c>
      <c r="T33" s="2" t="s">
        <v>458</v>
      </c>
      <c r="U33" s="2" t="s">
        <v>459</v>
      </c>
      <c r="V33" s="2" t="s">
        <v>397</v>
      </c>
      <c r="W33" s="2" t="s">
        <v>398</v>
      </c>
      <c r="X33" s="5">
        <f t="shared" si="0"/>
        <v>1</v>
      </c>
      <c r="Y33">
        <v>2019</v>
      </c>
      <c r="Z33">
        <v>5</v>
      </c>
      <c r="AA33">
        <v>3</v>
      </c>
      <c r="AD33">
        <v>140</v>
      </c>
      <c r="AE33">
        <v>143</v>
      </c>
      <c r="AG33" t="s">
        <v>399</v>
      </c>
      <c r="AJ33">
        <v>0</v>
      </c>
      <c r="AK33">
        <v>0</v>
      </c>
      <c r="AL33">
        <v>0</v>
      </c>
      <c r="AM33">
        <v>0</v>
      </c>
      <c r="AN33">
        <v>0</v>
      </c>
      <c r="AO33">
        <v>0</v>
      </c>
      <c r="AP33">
        <v>0</v>
      </c>
      <c r="AQ33">
        <v>0</v>
      </c>
      <c r="AR33">
        <v>0</v>
      </c>
      <c r="AS33">
        <v>0</v>
      </c>
      <c r="AT33">
        <v>0</v>
      </c>
      <c r="AU33">
        <v>0</v>
      </c>
      <c r="AV33">
        <v>0</v>
      </c>
      <c r="AW33">
        <v>0</v>
      </c>
      <c r="AX33">
        <v>0</v>
      </c>
      <c r="AY33">
        <v>0</v>
      </c>
    </row>
    <row r="34" spans="1:161" ht="340" x14ac:dyDescent="0.2">
      <c r="A34" s="2" t="s">
        <v>410</v>
      </c>
      <c r="B34" s="2" t="s">
        <v>903</v>
      </c>
      <c r="C34" s="2" t="s">
        <v>459</v>
      </c>
      <c r="D34" s="2" t="s">
        <v>700</v>
      </c>
      <c r="E34" s="2" t="s">
        <v>905</v>
      </c>
      <c r="F34" s="2" t="s">
        <v>458</v>
      </c>
      <c r="G34" s="2" t="s">
        <v>904</v>
      </c>
      <c r="H34" s="2" t="s">
        <v>902</v>
      </c>
      <c r="I34" s="2" t="s">
        <v>882</v>
      </c>
      <c r="J34" s="2" t="s">
        <v>459</v>
      </c>
      <c r="K34" s="2" t="s">
        <v>459</v>
      </c>
      <c r="L34" s="2" t="s">
        <v>458</v>
      </c>
      <c r="M34" s="2" t="s">
        <v>459</v>
      </c>
      <c r="N34" s="2" t="s">
        <v>458</v>
      </c>
      <c r="O34" s="2" t="s">
        <v>758</v>
      </c>
      <c r="P34" s="2" t="s">
        <v>458</v>
      </c>
      <c r="Q34" s="2" t="s">
        <v>901</v>
      </c>
      <c r="R34" s="7" t="s">
        <v>609</v>
      </c>
      <c r="S34" s="2" t="s">
        <v>458</v>
      </c>
      <c r="T34" s="2" t="s">
        <v>458</v>
      </c>
      <c r="U34" s="2" t="s">
        <v>458</v>
      </c>
      <c r="V34" s="2" t="s">
        <v>411</v>
      </c>
      <c r="W34" s="2" t="s">
        <v>412</v>
      </c>
      <c r="X34" s="5">
        <f t="shared" si="0"/>
        <v>1</v>
      </c>
      <c r="Y34">
        <v>2017</v>
      </c>
      <c r="Z34">
        <v>23</v>
      </c>
      <c r="AA34">
        <v>6</v>
      </c>
      <c r="AD34">
        <v>1381</v>
      </c>
      <c r="AE34">
        <v>1386</v>
      </c>
      <c r="AG34" t="s">
        <v>413</v>
      </c>
      <c r="AJ34">
        <v>0</v>
      </c>
      <c r="AK34">
        <v>0</v>
      </c>
      <c r="AL34">
        <v>0</v>
      </c>
      <c r="AM34">
        <v>0</v>
      </c>
      <c r="AN34">
        <v>0</v>
      </c>
      <c r="AO34">
        <v>0</v>
      </c>
      <c r="AP34">
        <v>0</v>
      </c>
      <c r="AQ34">
        <v>0</v>
      </c>
      <c r="AR34">
        <v>0</v>
      </c>
      <c r="AS34">
        <v>0</v>
      </c>
      <c r="AT34">
        <v>0</v>
      </c>
      <c r="AU34">
        <v>0</v>
      </c>
      <c r="AV34">
        <v>0</v>
      </c>
      <c r="AW34">
        <v>0</v>
      </c>
      <c r="AX34">
        <v>0</v>
      </c>
      <c r="AY34">
        <v>0</v>
      </c>
    </row>
    <row r="35" spans="1:161" ht="136" x14ac:dyDescent="0.2">
      <c r="A35" s="2" t="s">
        <v>663</v>
      </c>
      <c r="B35" s="2" t="s">
        <v>908</v>
      </c>
      <c r="C35" s="2" t="s">
        <v>458</v>
      </c>
      <c r="D35" s="2" t="s">
        <v>694</v>
      </c>
      <c r="E35" s="2" t="s">
        <v>909</v>
      </c>
      <c r="F35" s="2" t="s">
        <v>459</v>
      </c>
      <c r="G35" s="2" t="s">
        <v>910</v>
      </c>
      <c r="H35" s="2" t="s">
        <v>911</v>
      </c>
      <c r="I35" s="2" t="s">
        <v>459</v>
      </c>
      <c r="J35" s="2" t="s">
        <v>459</v>
      </c>
      <c r="K35" s="2" t="s">
        <v>459</v>
      </c>
      <c r="L35" s="2" t="s">
        <v>458</v>
      </c>
      <c r="M35" s="2" t="s">
        <v>459</v>
      </c>
      <c r="N35" s="2" t="s">
        <v>459</v>
      </c>
      <c r="O35" s="2" t="s">
        <v>758</v>
      </c>
      <c r="P35" s="2" t="s">
        <v>852</v>
      </c>
      <c r="Q35" s="2" t="s">
        <v>912</v>
      </c>
      <c r="V35" t="s">
        <v>664</v>
      </c>
      <c r="W35" t="s">
        <v>26</v>
      </c>
      <c r="X35" s="5">
        <f t="shared" si="0"/>
        <v>2</v>
      </c>
      <c r="Y35" t="s">
        <v>665</v>
      </c>
      <c r="Z35">
        <v>2018</v>
      </c>
      <c r="AA35">
        <v>13</v>
      </c>
      <c r="AB35">
        <v>5</v>
      </c>
      <c r="AC35" t="s">
        <v>620</v>
      </c>
      <c r="AD35" t="s">
        <v>620</v>
      </c>
      <c r="AE35" t="s">
        <v>620</v>
      </c>
      <c r="AF35">
        <v>331</v>
      </c>
      <c r="AG35">
        <v>340</v>
      </c>
      <c r="AH35" t="s">
        <v>620</v>
      </c>
      <c r="AI35" t="s">
        <v>666</v>
      </c>
      <c r="AJ35" t="s">
        <v>620</v>
      </c>
      <c r="AK35" t="s">
        <v>620</v>
      </c>
      <c r="AL35">
        <v>3</v>
      </c>
      <c r="AM35">
        <v>0.75</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1</v>
      </c>
      <c r="FD35">
        <v>2</v>
      </c>
      <c r="FE35">
        <v>0</v>
      </c>
    </row>
    <row r="36" spans="1:161" ht="51" x14ac:dyDescent="0.2">
      <c r="A36" s="2" t="s">
        <v>671</v>
      </c>
      <c r="B36" s="2" t="s">
        <v>913</v>
      </c>
      <c r="C36" s="2" t="s">
        <v>459</v>
      </c>
      <c r="D36" s="2" t="s">
        <v>694</v>
      </c>
      <c r="E36" s="2" t="s">
        <v>916</v>
      </c>
      <c r="F36" s="2" t="s">
        <v>458</v>
      </c>
      <c r="G36" s="2" t="s">
        <v>914</v>
      </c>
      <c r="H36" s="2" t="s">
        <v>915</v>
      </c>
      <c r="I36" s="2" t="s">
        <v>459</v>
      </c>
      <c r="J36" s="2" t="s">
        <v>459</v>
      </c>
      <c r="K36" s="2" t="s">
        <v>459</v>
      </c>
      <c r="L36" s="2" t="s">
        <v>458</v>
      </c>
      <c r="M36" s="2" t="s">
        <v>459</v>
      </c>
      <c r="N36" s="2" t="s">
        <v>459</v>
      </c>
      <c r="O36" s="2" t="s">
        <v>758</v>
      </c>
      <c r="P36" s="2" t="s">
        <v>852</v>
      </c>
      <c r="Q36" s="2" t="s">
        <v>917</v>
      </c>
      <c r="V36" t="s">
        <v>672</v>
      </c>
      <c r="W36" t="s">
        <v>673</v>
      </c>
      <c r="X36" s="5">
        <f t="shared" si="0"/>
        <v>1</v>
      </c>
      <c r="Y36" t="s">
        <v>674</v>
      </c>
      <c r="Z36">
        <v>2018</v>
      </c>
      <c r="AA36">
        <v>10</v>
      </c>
      <c r="AB36">
        <v>3</v>
      </c>
      <c r="AC36" t="s">
        <v>620</v>
      </c>
      <c r="AD36" t="s">
        <v>620</v>
      </c>
      <c r="AE36" t="s">
        <v>620</v>
      </c>
      <c r="AF36">
        <v>183</v>
      </c>
      <c r="AG36">
        <v>188</v>
      </c>
      <c r="AH36" t="s">
        <v>620</v>
      </c>
      <c r="AI36" t="s">
        <v>675</v>
      </c>
      <c r="AJ36" t="s">
        <v>620</v>
      </c>
      <c r="AK36" t="s">
        <v>620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row>
    <row r="37" spans="1:161" x14ac:dyDescent="0.2">
      <c r="X37" s="5"/>
    </row>
  </sheetData>
  <autoFilter ref="A1:BC36" xr:uid="{F7858121-29E1-5543-A087-28965803E051}"/>
  <conditionalFormatting sqref="S21:U21 S34:U34 R1:U1 R5:U8 R16:U18 P34:Q34 P21:Q21 A37:A1048576 P37:U1048576 P15:U15 B2:U4 B9:U14 P19:U20 P22:U33 A1:A34 B19:O34">
    <cfRule type="containsText" dxfId="29" priority="40" operator="containsText" text="review">
      <formula>NOT(ISERROR(SEARCH("review",A1)))</formula>
    </cfRule>
  </conditionalFormatting>
  <conditionalFormatting sqref="P1:Q1">
    <cfRule type="containsText" dxfId="28" priority="39" operator="containsText" text="review">
      <formula>NOT(ISERROR(SEARCH("review",P1)))</formula>
    </cfRule>
  </conditionalFormatting>
  <conditionalFormatting sqref="P5:Q5">
    <cfRule type="containsText" dxfId="27" priority="35" operator="containsText" text="review">
      <formula>NOT(ISERROR(SEARCH("review",P5)))</formula>
    </cfRule>
  </conditionalFormatting>
  <conditionalFormatting sqref="P6:Q6">
    <cfRule type="containsText" dxfId="26" priority="34" operator="containsText" text="review">
      <formula>NOT(ISERROR(SEARCH("review",P6)))</formula>
    </cfRule>
  </conditionalFormatting>
  <conditionalFormatting sqref="P7:Q7">
    <cfRule type="containsText" dxfId="25" priority="33" operator="containsText" text="review">
      <formula>NOT(ISERROR(SEARCH("review",P7)))</formula>
    </cfRule>
  </conditionalFormatting>
  <conditionalFormatting sqref="P8:Q8">
    <cfRule type="containsText" dxfId="24" priority="32" operator="containsText" text="review">
      <formula>NOT(ISERROR(SEARCH("review",P8)))</formula>
    </cfRule>
  </conditionalFormatting>
  <conditionalFormatting sqref="P16:Q16">
    <cfRule type="containsText" dxfId="23" priority="30" operator="containsText" text="review">
      <formula>NOT(ISERROR(SEARCH("review",P16)))</formula>
    </cfRule>
  </conditionalFormatting>
  <conditionalFormatting sqref="P17:Q17">
    <cfRule type="containsText" dxfId="22" priority="29" operator="containsText" text="review">
      <formula>NOT(ISERROR(SEARCH("review",P17)))</formula>
    </cfRule>
  </conditionalFormatting>
  <conditionalFormatting sqref="P18:Q18">
    <cfRule type="containsText" dxfId="21" priority="28" operator="containsText" text="review">
      <formula>NOT(ISERROR(SEARCH("review",P18)))</formula>
    </cfRule>
  </conditionalFormatting>
  <conditionalFormatting sqref="B15:O15 B37:O1048576">
    <cfRule type="containsText" dxfId="20" priority="26" operator="containsText" text="review">
      <formula>NOT(ISERROR(SEARCH("review",B15)))</formula>
    </cfRule>
  </conditionalFormatting>
  <conditionalFormatting sqref="B35:H35 O35">
    <cfRule type="duplicateValues" dxfId="19" priority="23" stopIfTrue="1"/>
  </conditionalFormatting>
  <conditionalFormatting sqref="B36:D36 G36:H36 O36">
    <cfRule type="duplicateValues" dxfId="18" priority="22" stopIfTrue="1"/>
  </conditionalFormatting>
  <conditionalFormatting sqref="B1:C1 F1:O1">
    <cfRule type="containsText" dxfId="17" priority="21" operator="containsText" text="review">
      <formula>NOT(ISERROR(SEARCH("review",B1)))</formula>
    </cfRule>
  </conditionalFormatting>
  <conditionalFormatting sqref="B5:O5">
    <cfRule type="containsText" dxfId="16" priority="17" operator="containsText" text="review">
      <formula>NOT(ISERROR(SEARCH("review",B5)))</formula>
    </cfRule>
  </conditionalFormatting>
  <conditionalFormatting sqref="B6:O6">
    <cfRule type="containsText" dxfId="15" priority="16" operator="containsText" text="review">
      <formula>NOT(ISERROR(SEARCH("review",B6)))</formula>
    </cfRule>
  </conditionalFormatting>
  <conditionalFormatting sqref="B7:O7">
    <cfRule type="containsText" dxfId="14" priority="15" operator="containsText" text="review">
      <formula>NOT(ISERROR(SEARCH("review",B7)))</formula>
    </cfRule>
  </conditionalFormatting>
  <conditionalFormatting sqref="B8:O8">
    <cfRule type="containsText" dxfId="13" priority="14" operator="containsText" text="review">
      <formula>NOT(ISERROR(SEARCH("review",B8)))</formula>
    </cfRule>
  </conditionalFormatting>
  <conditionalFormatting sqref="B16:O16">
    <cfRule type="containsText" dxfId="12" priority="12" operator="containsText" text="review">
      <formula>NOT(ISERROR(SEARCH("review",B16)))</formula>
    </cfRule>
  </conditionalFormatting>
  <conditionalFormatting sqref="B17:O17">
    <cfRule type="containsText" dxfId="11" priority="11" operator="containsText" text="review">
      <formula>NOT(ISERROR(SEARCH("review",B17)))</formula>
    </cfRule>
  </conditionalFormatting>
  <conditionalFormatting sqref="B18:O18">
    <cfRule type="containsText" dxfId="10" priority="10" operator="containsText" text="review">
      <formula>NOT(ISERROR(SEARCH("review",B18)))</formula>
    </cfRule>
  </conditionalFormatting>
  <conditionalFormatting sqref="D1">
    <cfRule type="containsText" dxfId="9" priority="8" operator="containsText" text="review">
      <formula>NOT(ISERROR(SEARCH("review",D1)))</formula>
    </cfRule>
  </conditionalFormatting>
  <conditionalFormatting sqref="E1">
    <cfRule type="containsText" dxfId="8" priority="7" operator="containsText" text="review">
      <formula>NOT(ISERROR(SEARCH("review",E1)))</formula>
    </cfRule>
  </conditionalFormatting>
  <conditionalFormatting sqref="P35:Q35 A35">
    <cfRule type="duplicateValues" dxfId="7" priority="43" stopIfTrue="1"/>
  </conditionalFormatting>
  <conditionalFormatting sqref="P36:Q36 A36">
    <cfRule type="duplicateValues" dxfId="6" priority="44" stopIfTrue="1"/>
  </conditionalFormatting>
  <conditionalFormatting sqref="I35:M35">
    <cfRule type="containsText" dxfId="5" priority="6" operator="containsText" text="review">
      <formula>NOT(ISERROR(SEARCH("review",I35)))</formula>
    </cfRule>
  </conditionalFormatting>
  <conditionalFormatting sqref="N35">
    <cfRule type="containsText" dxfId="4" priority="5" operator="containsText" text="review">
      <formula>NOT(ISERROR(SEARCH("review",N35)))</formula>
    </cfRule>
  </conditionalFormatting>
  <conditionalFormatting sqref="F36">
    <cfRule type="duplicateValues" dxfId="3" priority="4" stopIfTrue="1"/>
  </conditionalFormatting>
  <conditionalFormatting sqref="E36">
    <cfRule type="duplicateValues" dxfId="2" priority="3" stopIfTrue="1"/>
  </conditionalFormatting>
  <conditionalFormatting sqref="I36:M36">
    <cfRule type="containsText" dxfId="1" priority="2" operator="containsText" text="review">
      <formula>NOT(ISERROR(SEARCH("review",I36)))</formula>
    </cfRule>
  </conditionalFormatting>
  <conditionalFormatting sqref="N36">
    <cfRule type="containsText" dxfId="0" priority="1" operator="containsText" text="review">
      <formula>NOT(ISERROR(SEARCH("review",N36)))</formula>
    </cfRule>
  </conditionalFormatting>
  <pageMargins left="0.75" right="0.75" top="1" bottom="1" header="0.5" footer="0.5"/>
  <pageSetup paperSize="9" scale="10" fitToWidth="0" fitToHeight="0" orientation="landscape" horizontalDpi="0" verticalDpi="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7651E-99BC-9547-BD3C-A187D5040CEF}">
  <dimension ref="A1:J5"/>
  <sheetViews>
    <sheetView workbookViewId="0">
      <selection activeCell="N21" sqref="N21"/>
    </sheetView>
  </sheetViews>
  <sheetFormatPr baseColWidth="10" defaultRowHeight="16" x14ac:dyDescent="0.2"/>
  <cols>
    <col min="3" max="3" width="3.83203125" customWidth="1"/>
    <col min="4" max="4" width="35" bestFit="1" customWidth="1"/>
  </cols>
  <sheetData>
    <row r="1" spans="1:10" x14ac:dyDescent="0.2">
      <c r="A1" s="37"/>
      <c r="B1" s="37"/>
      <c r="C1" s="37"/>
      <c r="D1" s="37"/>
      <c r="E1" s="37"/>
      <c r="F1" s="37"/>
    </row>
    <row r="2" spans="1:10" ht="24" x14ac:dyDescent="0.3">
      <c r="A2" s="37"/>
      <c r="B2" s="43"/>
      <c r="C2" s="43"/>
      <c r="D2" s="43"/>
      <c r="E2" s="39"/>
      <c r="F2" s="37"/>
      <c r="G2" s="42"/>
      <c r="H2" s="45" t="s">
        <v>939</v>
      </c>
      <c r="I2" s="45"/>
      <c r="J2" s="45"/>
    </row>
    <row r="3" spans="1:10" ht="24" x14ac:dyDescent="0.3">
      <c r="A3" s="39"/>
      <c r="B3" s="39"/>
      <c r="C3" s="37"/>
      <c r="D3" s="39"/>
      <c r="E3" s="39"/>
      <c r="F3" s="37"/>
    </row>
    <row r="4" spans="1:10" x14ac:dyDescent="0.2">
      <c r="A4" s="37"/>
      <c r="B4" s="37"/>
      <c r="C4" s="37"/>
      <c r="D4" s="37"/>
      <c r="E4" s="37"/>
      <c r="F4" s="37"/>
    </row>
    <row r="5" spans="1:10" x14ac:dyDescent="0.2">
      <c r="A5" s="37"/>
      <c r="B5" s="37"/>
      <c r="C5" s="37"/>
      <c r="D5" s="37"/>
      <c r="E5" s="37"/>
      <c r="F5" s="37"/>
    </row>
  </sheetData>
  <mergeCells count="1">
    <mergeCell ref="H2:J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7</vt:i4>
      </vt:variant>
      <vt:variant>
        <vt:lpstr>Rangos con nombre</vt:lpstr>
      </vt:variant>
      <vt:variant>
        <vt:i4>4</vt:i4>
      </vt:variant>
    </vt:vector>
  </HeadingPairs>
  <TitlesOfParts>
    <vt:vector size="11" baseType="lpstr">
      <vt:lpstr>Searches</vt:lpstr>
      <vt:lpstr>ArticlesScopingReview_Inicial</vt:lpstr>
      <vt:lpstr>ArticlesScopingReview</vt:lpstr>
      <vt:lpstr>ArticlesScopingReview_Analysis</vt:lpstr>
      <vt:lpstr>ArticlesScopingReview_AnalysisO</vt:lpstr>
      <vt:lpstr>ArticlesScopingReview_Final</vt:lpstr>
      <vt:lpstr>Results</vt:lpstr>
      <vt:lpstr>ArticlesScopingReview!Área_de_impresión</vt:lpstr>
      <vt:lpstr>ArticlesScopingReview_Analysis!Área_de_impresión</vt:lpstr>
      <vt:lpstr>ArticlesScopingReview_AnalysisO!Área_de_impresión</vt:lpstr>
      <vt:lpstr>ArticlesScopingReview_Final!Área_de_impresión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2021-04-16T08:36:46Z</dcterms:created>
  <dcterms:modified xsi:type="dcterms:W3CDTF">2021-07-15T07:53:03Z</dcterms:modified>
</cp:coreProperties>
</file>